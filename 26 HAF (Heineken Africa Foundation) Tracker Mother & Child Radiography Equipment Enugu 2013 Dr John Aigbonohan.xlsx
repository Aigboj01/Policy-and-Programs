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User\Desktop\SOPS Policies EB1\"/>
    </mc:Choice>
  </mc:AlternateContent>
  <xr:revisionPtr revIDLastSave="0" documentId="13_ncr:1_{995246B5-9F55-4BE5-97B8-A39FF1BF73EF}" xr6:coauthVersionLast="47" xr6:coauthVersionMax="47" xr10:uidLastSave="{00000000-0000-0000-0000-000000000000}"/>
  <bookViews>
    <workbookView xWindow="-110" yWindow="-110" windowWidth="19420" windowHeight="10300" xr2:uid="{00000000-000D-0000-FFFF-FFFF00000000}"/>
  </bookViews>
  <sheets>
    <sheet name="Example" sheetId="13" r:id="rId1"/>
  </sheets>
  <definedNames>
    <definedName name="_xlnm.Print_Area" localSheetId="0">Example!$A$1:$W$50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3" l="1"/>
  <c r="F6" i="13" s="1"/>
  <c r="AF40" i="13" l="1"/>
  <c r="E6" i="13" s="1"/>
  <c r="AG41" i="13"/>
  <c r="N6" i="13" s="1"/>
  <c r="AG40" i="13"/>
  <c r="N5" i="13" s="1"/>
  <c r="AF41" i="13"/>
  <c r="M6" i="13" s="1"/>
  <c r="M5" i="13" l="1"/>
  <c r="M7" i="13" s="1"/>
  <c r="N7" i="13"/>
</calcChain>
</file>

<file path=xl/sharedStrings.xml><?xml version="1.0" encoding="utf-8"?>
<sst xmlns="http://schemas.openxmlformats.org/spreadsheetml/2006/main" count="196" uniqueCount="99">
  <si>
    <t>Heineken Africa Foundation</t>
  </si>
  <si>
    <t>Q4</t>
  </si>
  <si>
    <t>Opco</t>
  </si>
  <si>
    <t>Location</t>
  </si>
  <si>
    <t xml:space="preserve">Cash </t>
  </si>
  <si>
    <t>Project To Date</t>
  </si>
  <si>
    <t>Currency</t>
  </si>
  <si>
    <t>US Dollar</t>
  </si>
  <si>
    <t>Flows</t>
  </si>
  <si>
    <t>Plan</t>
  </si>
  <si>
    <t>Actual</t>
  </si>
  <si>
    <t>General Manager</t>
  </si>
  <si>
    <t>HAF Funding</t>
  </si>
  <si>
    <t>Income</t>
  </si>
  <si>
    <t>Expenses</t>
  </si>
  <si>
    <t>Variance</t>
  </si>
  <si>
    <t>Q1</t>
  </si>
  <si>
    <t>Q2</t>
  </si>
  <si>
    <t>Q3</t>
  </si>
  <si>
    <t>Cash Flow</t>
  </si>
  <si>
    <t>Totals</t>
  </si>
  <si>
    <t>Comments</t>
  </si>
  <si>
    <t>Project description:</t>
  </si>
  <si>
    <t>Partner Organizations</t>
  </si>
  <si>
    <t>Q2 2012</t>
  </si>
  <si>
    <t>Q3 2012</t>
  </si>
  <si>
    <t>Q4 2012</t>
  </si>
  <si>
    <t>Q2 2013</t>
  </si>
  <si>
    <t>Q3 2013</t>
  </si>
  <si>
    <t>Execution Indicators</t>
  </si>
  <si>
    <t>Operation Indicators</t>
  </si>
  <si>
    <t>[number]</t>
  </si>
  <si>
    <t>Execution Categories (Outputs)</t>
  </si>
  <si>
    <t>Operation Categories (Outcomes)</t>
  </si>
  <si>
    <t>Euro</t>
  </si>
  <si>
    <t>Rwandan Franc</t>
  </si>
  <si>
    <t>Burundi Franc</t>
  </si>
  <si>
    <t>CDF Franc</t>
  </si>
  <si>
    <t>Ghana Cedi</t>
  </si>
  <si>
    <t>Sierra Leone</t>
  </si>
  <si>
    <t>Tunisian Dinar</t>
  </si>
  <si>
    <t>EUR</t>
  </si>
  <si>
    <t>USD</t>
  </si>
  <si>
    <t>RWF</t>
  </si>
  <si>
    <t>BIF</t>
  </si>
  <si>
    <t>CDF</t>
  </si>
  <si>
    <t>GHC</t>
  </si>
  <si>
    <t>SLL</t>
  </si>
  <si>
    <t>TND</t>
  </si>
  <si>
    <t>Nigerian Naira</t>
  </si>
  <si>
    <t>NGN</t>
  </si>
  <si>
    <t>Project Manager NGO:</t>
  </si>
  <si>
    <t>Account Manager OpCo:</t>
  </si>
  <si>
    <t>End Evaluation</t>
  </si>
  <si>
    <t>End evaluation report</t>
  </si>
  <si>
    <t>Key Success Indicator</t>
  </si>
  <si>
    <t>Nigerian Breweries Plc.</t>
  </si>
  <si>
    <t>1. Facilities &amp; equipment</t>
  </si>
  <si>
    <t>2. Staff</t>
  </si>
  <si>
    <t>3. Improved care</t>
  </si>
  <si>
    <t>Q4 2013</t>
  </si>
  <si>
    <t xml:space="preserve">Contract Signed: </t>
  </si>
  <si>
    <t xml:space="preserve">Planned Ending: </t>
  </si>
  <si>
    <t>November 2013</t>
  </si>
  <si>
    <t>(1) Facilities &amp; equipment (2) Staff Development</t>
  </si>
  <si>
    <t>Project Number: 26</t>
  </si>
  <si>
    <t>Radiography Equipment</t>
  </si>
  <si>
    <t>Obi Oguledo</t>
  </si>
  <si>
    <t>Victor Famuyibo</t>
  </si>
  <si>
    <t>Niger Foundation Hospital</t>
  </si>
  <si>
    <t>Niger Welfare Foundation</t>
  </si>
  <si>
    <t>(3) Improved care</t>
  </si>
  <si>
    <t>November</t>
  </si>
  <si>
    <t>1.1 Radiography equipment purchased</t>
  </si>
  <si>
    <t>3.1 # of patiens scanned per month</t>
  </si>
  <si>
    <t>3.2 % equipment availability</t>
  </si>
  <si>
    <t>3.3. % equipement utilised</t>
  </si>
  <si>
    <t>4. Satisfaction level of radiologists &amp; physicians</t>
  </si>
  <si>
    <t>The Ama Cost Optimisation Team COT has done a good job of vetting the whole process of procurement (interacting with the vendor) though with some avoidable delays. Many issues that were previously being attended to by emails and phone calls were laid to rest in a one-on-one meeting between the vendor and the team early this week. The Vendor is required to submit redone details of supply and maintainace contract agreements with the amount still within the budget. All things being equal there will be an approval within one week and we can move forward.</t>
  </si>
  <si>
    <t>Purchase requisition approved 8 August, LPO was issued to the NigerFoundation Hospital 30 August 2012. We are in the waiting period of 8 weeks for delivery and installation from the supplier. In view of the time taken to process release of funds, we would have to reset and adjust the time lines to rflect the present realities. As such, installation due originally in February 2012 would now be November 2012. Other timelines would move forward accordingly.</t>
  </si>
  <si>
    <t>October</t>
  </si>
  <si>
    <t>April</t>
  </si>
  <si>
    <t>November 2011</t>
  </si>
  <si>
    <t>1.2 Radiography equipment installed</t>
  </si>
  <si>
    <t># Train existing radiography technicians</t>
  </si>
  <si>
    <t># Train new radiography technicians</t>
  </si>
  <si>
    <t>survey in progress</t>
  </si>
  <si>
    <t>The arrival of the equipment has taken over 16weeks instead of the proposed 8weeks. NigerFoundation took possession on Saturday 12 January, 2013. See delivery notes and pictures. Installation will take place wk3 2013. Training of the existing radiography technicians weeks 4&amp;5 of 2013 and recruiting/training of New radiography technicians weeks 6-13 of 2013. Monitoring KPIs would commence after installation and training of the existing Radiology technicians from wk 10 of 2013. Please note the following: 1. The xray machine availability last year was 70% because of breakdown of the xray machine. Availability of the digitaliser however will be 100% as it can work with the main xray machine and the newly refurbished stand-by xray machine. 2. A survey on satisfaction was commenced last december and still in progress. Report will be ready this January. 3. A gradual rise in number of radiological examination is expected up till the target of 500 over the next two years. So the figures have been so adjusted. 4. % equipment utilised is expected to remain at 80% due to shift duty arrangements. The main gain would be from increased efficiency, being able to do more films in the same time period.</t>
  </si>
  <si>
    <t xml:space="preserve">2. The survey was conducted, the pre installation survey. A copy of the questionnaire is attached. The analysis is yet to be completed. A repeat survey will be conducted six months after the first one the post installation. </t>
  </si>
  <si>
    <t>3. Five personnells have been trained in total. Three existing radiographers, a fourth recruited in Dec 2012 and the fifth person recruited in February 2013.</t>
  </si>
  <si>
    <t xml:space="preserve">4. Machine availability has been 100% since both the large (stationary) and the mobile x-ray machines are in good working condition. Either of these machines can be used with the digitalizer. Also Utilisation has remained 80% as previously explained.  5. The second installment of 10% post delivery is due for payment in March 2013 ending and NigerFoundation Hospital is preparing an invoice for submission, so will the second and third installments for April 2013 ending and May 2013 ending. </t>
  </si>
  <si>
    <t>1. Full installation of all modules was completed on the 13th of February, 2013 and has been functional since then.</t>
  </si>
  <si>
    <t>Q1 2013</t>
  </si>
  <si>
    <t>Nil</t>
  </si>
  <si>
    <t xml:space="preserve">                     Final Survey due Q3</t>
  </si>
  <si>
    <t xml:space="preserve">The digitizer equipment has continued to function very well. The radiographers are becoming more proficitent in the use of the equipment. However, the large stationary Xray machine of the hospital developed a fault with the tube head. This Xray machine had been used by the hospital before the present digitizer was installed. The Italian
company that supplied the large stationary Xray machine is retrieving the tube head to analyze and fix the fault.
In the meantime, only the mobile Xray machine is being used to capture
images which are then processed with the digitizer equipment. This has reduced the average per month to 150 since May when the machine became faulty. Also the amount N2,995,000:00 due the project in Q1 was paid in June 2013 with only the last tranche of N1,497,500:00 outstanding for payment. The post installation survey will be done six months after installation ie Q3.
</t>
  </si>
  <si>
    <t>John Aigbonohan</t>
  </si>
  <si>
    <t>Essential Radiography equipment to improve Mother and Child healthcare in Enugu</t>
  </si>
  <si>
    <t>Nigeria (Enugu)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</si>
</sst>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sz val="11"/>
      <color theme="1"/>
      <name val="Tahoma"/>
      <family val="2"/>
    </font>
    <font>
      <b/>
      <sz val="11"/>
      <color theme="0"/>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b/>
      <sz val="11"/>
      <color indexed="8"/>
      <name val="Calibri"/>
      <family val="2"/>
      <scheme val="minor"/>
    </font>
    <font>
      <sz val="11"/>
      <color indexed="8"/>
      <name val="Calibri"/>
      <family val="2"/>
      <scheme val="minor"/>
    </font>
    <font>
      <sz val="12"/>
      <color theme="1"/>
      <name val="Calibri"/>
      <family val="2"/>
      <scheme val="minor"/>
    </font>
    <font>
      <b/>
      <sz val="12"/>
      <color indexed="8"/>
      <name val="Calibri"/>
      <family val="2"/>
      <scheme val="minor"/>
    </font>
    <font>
      <b/>
      <sz val="11"/>
      <name val="Calibri"/>
      <family val="2"/>
      <scheme val="minor"/>
    </font>
    <font>
      <sz val="11"/>
      <name val="Calibri"/>
      <family val="2"/>
      <scheme val="minor"/>
    </font>
    <font>
      <sz val="10"/>
      <color theme="1"/>
      <name val="Calibri"/>
      <family val="2"/>
      <scheme val="minor"/>
    </font>
    <font>
      <b/>
      <sz val="12"/>
      <name val="Calibri"/>
      <family val="2"/>
      <scheme val="minor"/>
    </font>
    <font>
      <b/>
      <u/>
      <sz val="11"/>
      <color indexed="8"/>
      <name val="Calibri"/>
      <family val="2"/>
      <scheme val="minor"/>
    </font>
    <font>
      <b/>
      <u/>
      <sz val="11"/>
      <color theme="1"/>
      <name val="Calibri"/>
      <family val="2"/>
      <scheme val="minor"/>
    </font>
    <font>
      <b/>
      <sz val="12"/>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indexed="9"/>
        <bgColor indexed="64"/>
      </patternFill>
    </fill>
    <fill>
      <patternFill patternType="solid">
        <fgColor rgb="FFFFC000"/>
        <bgColor indexed="64"/>
      </patternFill>
    </fill>
    <fill>
      <patternFill patternType="solid">
        <fgColor rgb="FF006600"/>
        <bgColor indexed="64"/>
      </patternFill>
    </fill>
    <fill>
      <patternFill patternType="solid">
        <fgColor theme="0" tint="-0.14999847407452621"/>
        <bgColor indexed="64"/>
      </patternFill>
    </fill>
    <fill>
      <patternFill patternType="solid">
        <fgColor rgb="FFDDDDDD"/>
        <bgColor indexed="64"/>
      </patternFill>
    </fill>
    <fill>
      <patternFill patternType="solid">
        <fgColor theme="0"/>
        <bgColor indexed="64"/>
      </patternFill>
    </fill>
  </fills>
  <borders count="45">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hair">
        <color indexed="64"/>
      </right>
      <top style="thin">
        <color indexed="64"/>
      </top>
      <bottom/>
      <diagonal/>
    </border>
    <border>
      <left style="thin">
        <color indexed="64"/>
      </left>
      <right style="thin">
        <color indexed="64"/>
      </right>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hair">
        <color indexed="64"/>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177">
    <xf numFmtId="0" fontId="0" fillId="0" borderId="0" xfId="0"/>
    <xf numFmtId="0" fontId="2" fillId="3" borderId="0" xfId="0" applyFont="1" applyFill="1" applyProtection="1">
      <protection locked="0"/>
    </xf>
    <xf numFmtId="0" fontId="5" fillId="2" borderId="0" xfId="0" applyFont="1" applyFill="1" applyProtection="1">
      <protection locked="0"/>
    </xf>
    <xf numFmtId="0" fontId="6" fillId="2" borderId="0" xfId="0" applyFont="1" applyFill="1" applyProtection="1">
      <protection locked="0"/>
    </xf>
    <xf numFmtId="0" fontId="5" fillId="2" borderId="0" xfId="0" applyFont="1" applyFill="1" applyAlignment="1" applyProtection="1">
      <alignment horizontal="right"/>
      <protection locked="0"/>
    </xf>
    <xf numFmtId="0" fontId="5" fillId="2" borderId="0" xfId="0" applyFont="1" applyFill="1" applyAlignment="1" applyProtection="1">
      <alignment horizontal="left"/>
      <protection locked="0"/>
    </xf>
    <xf numFmtId="0" fontId="6" fillId="3" borderId="0" xfId="0" applyFont="1" applyFill="1" applyProtection="1">
      <protection locked="0"/>
    </xf>
    <xf numFmtId="0" fontId="4" fillId="3" borderId="0" xfId="0" applyFont="1" applyFill="1" applyProtection="1">
      <protection locked="0"/>
    </xf>
    <xf numFmtId="0" fontId="0" fillId="3" borderId="0" xfId="0" applyFill="1" applyProtection="1">
      <protection locked="0"/>
    </xf>
    <xf numFmtId="0" fontId="0" fillId="3" borderId="0" xfId="0" applyFill="1" applyAlignment="1" applyProtection="1">
      <alignment horizontal="center"/>
      <protection locked="0"/>
    </xf>
    <xf numFmtId="0" fontId="4" fillId="3" borderId="1" xfId="0" applyFont="1" applyFill="1" applyBorder="1" applyAlignment="1">
      <alignment horizontal="left"/>
    </xf>
    <xf numFmtId="0" fontId="7" fillId="3" borderId="2" xfId="0" applyFont="1" applyFill="1" applyBorder="1" applyAlignment="1">
      <alignment horizontal="left" vertical="top"/>
    </xf>
    <xf numFmtId="0" fontId="7" fillId="3" borderId="3" xfId="0" applyFont="1" applyFill="1" applyBorder="1" applyAlignment="1">
      <alignment horizontal="left" vertical="top"/>
    </xf>
    <xf numFmtId="0" fontId="7" fillId="3" borderId="2" xfId="0" applyFont="1" applyFill="1" applyBorder="1" applyAlignment="1">
      <alignment vertical="top"/>
    </xf>
    <xf numFmtId="0" fontId="7" fillId="3" borderId="10" xfId="0" applyFont="1" applyFill="1" applyBorder="1" applyAlignment="1">
      <alignment vertical="top"/>
    </xf>
    <xf numFmtId="0" fontId="4" fillId="3" borderId="10" xfId="0" applyFont="1" applyFill="1" applyBorder="1" applyProtection="1">
      <protection locked="0"/>
    </xf>
    <xf numFmtId="0" fontId="0" fillId="3" borderId="3" xfId="0" applyFill="1" applyBorder="1" applyProtection="1">
      <protection locked="0"/>
    </xf>
    <xf numFmtId="0" fontId="4" fillId="3" borderId="26" xfId="0" applyFont="1" applyFill="1" applyBorder="1" applyAlignment="1">
      <alignment horizontal="center"/>
    </xf>
    <xf numFmtId="0" fontId="7" fillId="3" borderId="27" xfId="0" applyFont="1" applyFill="1" applyBorder="1" applyAlignment="1">
      <alignment horizontal="left"/>
    </xf>
    <xf numFmtId="0" fontId="7" fillId="3" borderId="30" xfId="0" applyFont="1" applyFill="1" applyBorder="1" applyAlignment="1">
      <alignment horizontal="left"/>
    </xf>
    <xf numFmtId="0" fontId="0" fillId="3" borderId="5" xfId="0" applyFill="1" applyBorder="1" applyAlignment="1">
      <alignment horizontal="left"/>
    </xf>
    <xf numFmtId="0" fontId="4" fillId="3" borderId="28" xfId="0" applyFont="1" applyFill="1" applyBorder="1" applyAlignment="1">
      <alignment horizontal="center"/>
    </xf>
    <xf numFmtId="0" fontId="7" fillId="4" borderId="4" xfId="0" applyFont="1" applyFill="1" applyBorder="1" applyAlignment="1">
      <alignment horizontal="center"/>
    </xf>
    <xf numFmtId="0" fontId="3" fillId="5" borderId="31" xfId="0" applyFont="1" applyFill="1" applyBorder="1" applyAlignment="1">
      <alignment horizontal="center"/>
    </xf>
    <xf numFmtId="0" fontId="7" fillId="3" borderId="1" xfId="0" applyFont="1" applyFill="1" applyBorder="1" applyAlignment="1">
      <alignment horizontal="left"/>
    </xf>
    <xf numFmtId="0" fontId="4" fillId="3" borderId="2" xfId="0" applyFont="1" applyFill="1" applyBorder="1" applyAlignment="1" applyProtection="1">
      <alignment horizontal="left"/>
      <protection locked="0"/>
    </xf>
    <xf numFmtId="0" fontId="4" fillId="3" borderId="3" xfId="0" applyFont="1" applyFill="1" applyBorder="1" applyAlignment="1" applyProtection="1">
      <alignment horizontal="left"/>
      <protection locked="0"/>
    </xf>
    <xf numFmtId="0" fontId="0" fillId="6" borderId="28" xfId="0" applyFill="1" applyBorder="1"/>
    <xf numFmtId="3" fontId="0" fillId="7" borderId="4" xfId="1" applyNumberFormat="1" applyFont="1" applyFill="1" applyBorder="1" applyAlignment="1" applyProtection="1"/>
    <xf numFmtId="3" fontId="0" fillId="7" borderId="29" xfId="1" applyNumberFormat="1" applyFont="1" applyFill="1" applyBorder="1" applyAlignment="1" applyProtection="1"/>
    <xf numFmtId="164" fontId="0" fillId="3" borderId="6" xfId="1" applyNumberFormat="1" applyFont="1" applyFill="1" applyBorder="1" applyAlignment="1" applyProtection="1">
      <alignment horizontal="center"/>
    </xf>
    <xf numFmtId="0" fontId="0" fillId="3" borderId="7" xfId="0" applyFill="1" applyBorder="1" applyAlignment="1">
      <alignment horizontal="center"/>
    </xf>
    <xf numFmtId="0" fontId="0" fillId="3" borderId="28" xfId="0" applyFill="1" applyBorder="1"/>
    <xf numFmtId="3" fontId="0" fillId="3" borderId="4" xfId="1" applyNumberFormat="1" applyFont="1" applyFill="1" applyBorder="1" applyAlignment="1" applyProtection="1"/>
    <xf numFmtId="3" fontId="0" fillId="3" borderId="29" xfId="1" applyNumberFormat="1" applyFont="1" applyFill="1" applyBorder="1" applyAlignment="1" applyProtection="1"/>
    <xf numFmtId="0" fontId="4" fillId="3" borderId="10" xfId="0" applyFont="1" applyFill="1" applyBorder="1" applyAlignment="1" applyProtection="1">
      <alignment horizontal="left"/>
      <protection locked="0"/>
    </xf>
    <xf numFmtId="0" fontId="0" fillId="3" borderId="23" xfId="0" applyFill="1" applyBorder="1"/>
    <xf numFmtId="3" fontId="0" fillId="3" borderId="24" xfId="0" applyNumberFormat="1" applyFill="1" applyBorder="1"/>
    <xf numFmtId="3" fontId="0" fillId="3" borderId="25" xfId="0" applyNumberFormat="1" applyFill="1" applyBorder="1"/>
    <xf numFmtId="0" fontId="0" fillId="8" borderId="0" xfId="0" applyFill="1" applyAlignment="1" applyProtection="1">
      <alignment vertical="top" wrapText="1"/>
      <protection locked="0"/>
    </xf>
    <xf numFmtId="0" fontId="0" fillId="8" borderId="0" xfId="0" applyFill="1" applyAlignment="1" applyProtection="1">
      <alignment horizontal="center" vertical="top" wrapText="1"/>
      <protection locked="0"/>
    </xf>
    <xf numFmtId="0" fontId="0" fillId="8" borderId="0" xfId="0" applyFill="1" applyProtection="1">
      <protection locked="0"/>
    </xf>
    <xf numFmtId="0" fontId="7" fillId="4" borderId="6" xfId="0" applyFont="1" applyFill="1" applyBorder="1" applyAlignment="1">
      <alignment horizontal="center"/>
    </xf>
    <xf numFmtId="0" fontId="3" fillId="5" borderId="9" xfId="0" applyFont="1" applyFill="1" applyBorder="1" applyAlignment="1">
      <alignment horizontal="center"/>
    </xf>
    <xf numFmtId="0" fontId="3" fillId="5" borderId="9" xfId="0" applyFont="1" applyFill="1" applyBorder="1" applyAlignment="1" applyProtection="1">
      <alignment horizontal="left"/>
      <protection locked="0"/>
    </xf>
    <xf numFmtId="0" fontId="11" fillId="6" borderId="19" xfId="0" applyFont="1" applyFill="1" applyBorder="1" applyAlignment="1" applyProtection="1">
      <alignment wrapText="1"/>
      <protection locked="0"/>
    </xf>
    <xf numFmtId="0" fontId="0" fillId="7" borderId="18" xfId="0" applyFill="1" applyBorder="1" applyAlignment="1">
      <alignment horizontal="center"/>
    </xf>
    <xf numFmtId="0" fontId="0" fillId="7" borderId="3" xfId="0" applyFill="1" applyBorder="1" applyAlignment="1">
      <alignment horizontal="center"/>
    </xf>
    <xf numFmtId="0" fontId="0" fillId="7" borderId="10" xfId="0" applyFill="1" applyBorder="1" applyAlignment="1">
      <alignment horizontal="center"/>
    </xf>
    <xf numFmtId="0" fontId="0" fillId="7" borderId="22" xfId="0" applyFill="1" applyBorder="1" applyAlignment="1">
      <alignment horizontal="center"/>
    </xf>
    <xf numFmtId="0" fontId="12" fillId="3" borderId="19" xfId="0" applyFont="1" applyFill="1" applyBorder="1" applyAlignment="1" applyProtection="1">
      <alignment wrapText="1"/>
      <protection locked="0"/>
    </xf>
    <xf numFmtId="0" fontId="0" fillId="3" borderId="20" xfId="0" applyFill="1" applyBorder="1" applyAlignment="1">
      <alignment horizontal="center"/>
    </xf>
    <xf numFmtId="0" fontId="0" fillId="3" borderId="12" xfId="0" applyFill="1" applyBorder="1" applyAlignment="1">
      <alignment horizontal="center"/>
    </xf>
    <xf numFmtId="0" fontId="12" fillId="6" borderId="19" xfId="0" applyFont="1" applyFill="1" applyBorder="1" applyAlignment="1" applyProtection="1">
      <alignment wrapText="1"/>
      <protection locked="0"/>
    </xf>
    <xf numFmtId="0" fontId="0" fillId="7" borderId="20" xfId="0" applyFill="1" applyBorder="1" applyAlignment="1">
      <alignment horizontal="center"/>
    </xf>
    <xf numFmtId="0" fontId="0" fillId="7" borderId="12" xfId="0" applyFill="1" applyBorder="1" applyAlignment="1">
      <alignment horizontal="center"/>
    </xf>
    <xf numFmtId="0" fontId="0" fillId="3" borderId="12" xfId="0" quotePrefix="1" applyFill="1" applyBorder="1" applyAlignment="1">
      <alignment horizontal="center"/>
    </xf>
    <xf numFmtId="0" fontId="0" fillId="3" borderId="12" xfId="0" quotePrefix="1" applyFill="1" applyBorder="1" applyAlignment="1">
      <alignment horizontal="center" wrapText="1"/>
    </xf>
    <xf numFmtId="0" fontId="13" fillId="7" borderId="12" xfId="0" quotePrefix="1" applyFont="1" applyFill="1" applyBorder="1" applyAlignment="1">
      <alignment horizontal="center"/>
    </xf>
    <xf numFmtId="0" fontId="0" fillId="3" borderId="11" xfId="0" applyFill="1" applyBorder="1" applyAlignment="1" applyProtection="1">
      <alignment horizontal="center" wrapText="1"/>
      <protection locked="0"/>
    </xf>
    <xf numFmtId="0" fontId="0" fillId="3" borderId="21" xfId="0" applyFill="1" applyBorder="1" applyAlignment="1">
      <alignment horizontal="center"/>
    </xf>
    <xf numFmtId="0" fontId="0" fillId="6" borderId="1" xfId="0" applyFill="1" applyBorder="1" applyProtection="1">
      <protection locked="0"/>
    </xf>
    <xf numFmtId="3" fontId="0" fillId="7" borderId="18" xfId="1" applyNumberFormat="1" applyFont="1" applyFill="1" applyBorder="1" applyAlignment="1" applyProtection="1">
      <alignment horizontal="center"/>
    </xf>
    <xf numFmtId="0" fontId="0" fillId="3" borderId="5" xfId="0" applyFill="1" applyBorder="1" applyProtection="1">
      <protection locked="0"/>
    </xf>
    <xf numFmtId="3" fontId="0" fillId="3" borderId="21" xfId="1" applyNumberFormat="1" applyFont="1" applyFill="1" applyBorder="1" applyAlignment="1" applyProtection="1">
      <alignment horizontal="center"/>
    </xf>
    <xf numFmtId="0" fontId="0" fillId="3" borderId="0" xfId="1" applyNumberFormat="1" applyFont="1" applyFill="1" applyBorder="1" applyAlignment="1" applyProtection="1">
      <alignment horizontal="center"/>
    </xf>
    <xf numFmtId="0" fontId="9" fillId="3" borderId="0" xfId="0" applyFont="1" applyFill="1" applyProtection="1">
      <protection locked="0"/>
    </xf>
    <xf numFmtId="0" fontId="9" fillId="3" borderId="0" xfId="0" applyFont="1" applyFill="1" applyAlignment="1" applyProtection="1">
      <alignment horizontal="center"/>
      <protection locked="0"/>
    </xf>
    <xf numFmtId="0" fontId="15" fillId="8" borderId="2" xfId="0" applyFont="1" applyFill="1" applyBorder="1" applyAlignment="1" applyProtection="1">
      <alignment vertical="top"/>
      <protection locked="0"/>
    </xf>
    <xf numFmtId="0" fontId="0" fillId="8" borderId="10" xfId="0" applyFill="1" applyBorder="1" applyAlignment="1" applyProtection="1">
      <alignment vertical="top"/>
      <protection locked="0"/>
    </xf>
    <xf numFmtId="0" fontId="0" fillId="8" borderId="3" xfId="0" applyFill="1" applyBorder="1" applyAlignment="1" applyProtection="1">
      <alignment vertical="top"/>
      <protection locked="0"/>
    </xf>
    <xf numFmtId="0" fontId="16" fillId="8" borderId="10" xfId="0" applyFont="1" applyFill="1" applyBorder="1" applyAlignment="1" applyProtection="1">
      <alignment vertical="top"/>
      <protection locked="0"/>
    </xf>
    <xf numFmtId="0" fontId="16" fillId="8" borderId="3" xfId="0" applyFont="1" applyFill="1" applyBorder="1" applyAlignment="1" applyProtection="1">
      <alignment vertical="top"/>
      <protection locked="0"/>
    </xf>
    <xf numFmtId="0" fontId="4" fillId="3" borderId="0" xfId="0" applyFont="1" applyFill="1" applyAlignment="1" applyProtection="1">
      <alignment horizontal="left"/>
      <protection locked="0"/>
    </xf>
    <xf numFmtId="0" fontId="0" fillId="3" borderId="6" xfId="0" applyFill="1" applyBorder="1" applyAlignment="1" applyProtection="1">
      <alignment horizontal="left" wrapText="1"/>
      <protection locked="0"/>
    </xf>
    <xf numFmtId="0" fontId="7" fillId="3" borderId="11" xfId="0" applyFont="1" applyFill="1" applyBorder="1" applyAlignment="1">
      <alignment horizontal="center"/>
    </xf>
    <xf numFmtId="0" fontId="7" fillId="3" borderId="12" xfId="0" applyFont="1" applyFill="1" applyBorder="1" applyAlignment="1">
      <alignment horizontal="center"/>
    </xf>
    <xf numFmtId="0" fontId="0" fillId="3" borderId="2" xfId="0" applyFill="1" applyBorder="1" applyProtection="1">
      <protection locked="0"/>
    </xf>
    <xf numFmtId="0" fontId="3" fillId="5" borderId="7" xfId="0" applyFont="1" applyFill="1" applyBorder="1" applyAlignment="1">
      <alignment horizontal="center"/>
    </xf>
    <xf numFmtId="0" fontId="3" fillId="5" borderId="21" xfId="0" applyFont="1" applyFill="1" applyBorder="1" applyAlignment="1">
      <alignment horizontal="center"/>
    </xf>
    <xf numFmtId="0" fontId="3" fillId="5" borderId="42" xfId="0" applyFont="1" applyFill="1" applyBorder="1" applyAlignment="1">
      <alignment horizontal="center"/>
    </xf>
    <xf numFmtId="3" fontId="0" fillId="7" borderId="43" xfId="1" applyNumberFormat="1" applyFont="1" applyFill="1" applyBorder="1" applyAlignment="1" applyProtection="1">
      <alignment horizontal="center"/>
    </xf>
    <xf numFmtId="3" fontId="0" fillId="3" borderId="44" xfId="1" applyNumberFormat="1" applyFont="1" applyFill="1" applyBorder="1" applyAlignment="1" applyProtection="1">
      <alignment horizontal="center"/>
    </xf>
    <xf numFmtId="0" fontId="10" fillId="3" borderId="2" xfId="0" applyFont="1" applyFill="1" applyBorder="1" applyAlignment="1">
      <alignment vertical="top" wrapText="1"/>
    </xf>
    <xf numFmtId="0" fontId="9" fillId="3" borderId="10" xfId="0" applyFont="1" applyFill="1" applyBorder="1" applyAlignment="1">
      <alignment vertical="top" wrapText="1"/>
    </xf>
    <xf numFmtId="0" fontId="0" fillId="3" borderId="10" xfId="0" applyFill="1" applyBorder="1" applyProtection="1">
      <protection locked="0"/>
    </xf>
    <xf numFmtId="0" fontId="17" fillId="3" borderId="10" xfId="0" applyFont="1" applyFill="1" applyBorder="1" applyAlignment="1">
      <alignment vertical="top" wrapText="1"/>
    </xf>
    <xf numFmtId="0" fontId="17" fillId="3" borderId="3" xfId="0" applyFont="1" applyFill="1" applyBorder="1" applyAlignment="1">
      <alignment vertical="top" wrapText="1"/>
    </xf>
    <xf numFmtId="0" fontId="0" fillId="8" borderId="8" xfId="0" applyFill="1" applyBorder="1" applyAlignment="1">
      <alignment vertical="top"/>
    </xf>
    <xf numFmtId="0" fontId="0" fillId="8" borderId="7" xfId="0" applyFill="1" applyBorder="1" applyAlignment="1">
      <alignment vertical="top"/>
    </xf>
    <xf numFmtId="0" fontId="0" fillId="8" borderId="6" xfId="0" applyFill="1" applyBorder="1" applyAlignment="1">
      <alignment vertical="top"/>
    </xf>
    <xf numFmtId="17" fontId="0" fillId="3" borderId="20" xfId="0" applyNumberFormat="1" applyFill="1" applyBorder="1" applyAlignment="1">
      <alignment horizontal="center"/>
    </xf>
    <xf numFmtId="17" fontId="0" fillId="7" borderId="20" xfId="0" applyNumberFormat="1" applyFill="1" applyBorder="1" applyAlignment="1">
      <alignment horizontal="center"/>
    </xf>
    <xf numFmtId="3" fontId="1" fillId="7" borderId="18" xfId="1" applyNumberFormat="1" applyFont="1" applyFill="1" applyBorder="1" applyAlignment="1" applyProtection="1">
      <alignment horizontal="center"/>
    </xf>
    <xf numFmtId="3" fontId="1" fillId="3" borderId="21" xfId="1" applyNumberFormat="1" applyFont="1" applyFill="1" applyBorder="1" applyAlignment="1" applyProtection="1">
      <alignment horizontal="center"/>
    </xf>
    <xf numFmtId="17" fontId="0" fillId="8" borderId="6" xfId="0" quotePrefix="1" applyNumberFormat="1" applyFill="1" applyBorder="1" applyAlignment="1">
      <alignment vertical="top"/>
    </xf>
    <xf numFmtId="17" fontId="0" fillId="3" borderId="12" xfId="0" applyNumberFormat="1" applyFill="1" applyBorder="1" applyAlignment="1">
      <alignment horizontal="center"/>
    </xf>
    <xf numFmtId="17" fontId="0" fillId="7" borderId="12" xfId="0" applyNumberFormat="1" applyFill="1" applyBorder="1" applyAlignment="1">
      <alignment horizontal="center"/>
    </xf>
    <xf numFmtId="0" fontId="0" fillId="3" borderId="0" xfId="0" applyFill="1" applyAlignment="1" applyProtection="1">
      <alignment wrapText="1"/>
      <protection locked="0"/>
    </xf>
    <xf numFmtId="0" fontId="0" fillId="6" borderId="0" xfId="0" applyFill="1" applyAlignment="1" applyProtection="1">
      <alignment horizontal="center"/>
      <protection locked="0"/>
    </xf>
    <xf numFmtId="0" fontId="7" fillId="3" borderId="11" xfId="0" applyFont="1" applyFill="1" applyBorder="1" applyAlignment="1">
      <alignment horizontal="center"/>
    </xf>
    <xf numFmtId="0" fontId="0" fillId="0" borderId="12" xfId="0" applyBorder="1" applyAlignment="1">
      <alignment horizontal="center"/>
    </xf>
    <xf numFmtId="0" fontId="14" fillId="2" borderId="1" xfId="0" applyFont="1" applyFill="1" applyBorder="1" applyAlignment="1" applyProtection="1">
      <alignment horizontal="left"/>
      <protection locked="0"/>
    </xf>
    <xf numFmtId="0" fontId="14" fillId="2" borderId="19" xfId="0" applyFont="1" applyFill="1" applyBorder="1" applyAlignment="1" applyProtection="1">
      <alignment horizontal="left"/>
      <protection locked="0"/>
    </xf>
    <xf numFmtId="0" fontId="14" fillId="2" borderId="5" xfId="0" applyFont="1" applyFill="1" applyBorder="1" applyAlignment="1" applyProtection="1">
      <alignment horizontal="left"/>
      <protection locked="0"/>
    </xf>
    <xf numFmtId="0" fontId="7" fillId="3" borderId="12" xfId="0" applyFont="1" applyFill="1" applyBorder="1" applyAlignment="1">
      <alignment horizontal="center"/>
    </xf>
    <xf numFmtId="0" fontId="0" fillId="3" borderId="11" xfId="0" applyFill="1" applyBorder="1" applyAlignment="1">
      <alignment horizontal="left"/>
    </xf>
    <xf numFmtId="0" fontId="0" fillId="3" borderId="0" xfId="0" applyFill="1" applyAlignment="1">
      <alignment horizontal="left"/>
    </xf>
    <xf numFmtId="0" fontId="0" fillId="3" borderId="12" xfId="0" applyFill="1" applyBorder="1" applyAlignment="1">
      <alignment horizontal="left"/>
    </xf>
    <xf numFmtId="0" fontId="7" fillId="3" borderId="41" xfId="0" applyFont="1" applyFill="1"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7" fillId="3" borderId="13" xfId="0" applyFont="1" applyFill="1" applyBorder="1" applyAlignment="1">
      <alignment horizontal="center"/>
    </xf>
    <xf numFmtId="0" fontId="7" fillId="3" borderId="31" xfId="0" applyFont="1" applyFill="1" applyBorder="1" applyAlignment="1">
      <alignment horizontal="center"/>
    </xf>
    <xf numFmtId="0" fontId="0" fillId="0" borderId="40" xfId="0" applyBorder="1" applyAlignment="1">
      <alignment horizontal="center"/>
    </xf>
    <xf numFmtId="0" fontId="17" fillId="3" borderId="2" xfId="0" applyFont="1" applyFill="1" applyBorder="1" applyAlignment="1">
      <alignment horizontal="left" vertical="top" wrapText="1"/>
    </xf>
    <xf numFmtId="0" fontId="17" fillId="3" borderId="3" xfId="0" applyFont="1" applyFill="1" applyBorder="1" applyAlignment="1">
      <alignment horizontal="left" vertical="top" wrapText="1"/>
    </xf>
    <xf numFmtId="0" fontId="0" fillId="8" borderId="8" xfId="0" applyFill="1" applyBorder="1" applyAlignment="1">
      <alignment horizontal="left" vertical="top" wrapText="1"/>
    </xf>
    <xf numFmtId="0" fontId="0" fillId="8" borderId="11" xfId="0" applyFill="1" applyBorder="1" applyAlignment="1" applyProtection="1">
      <alignment horizontal="left" vertical="top" wrapText="1"/>
      <protection locked="0"/>
    </xf>
    <xf numFmtId="0" fontId="0" fillId="8" borderId="0" xfId="0" applyFill="1" applyAlignment="1" applyProtection="1">
      <alignment horizontal="left" vertical="top" wrapText="1"/>
      <protection locked="0"/>
    </xf>
    <xf numFmtId="0" fontId="0" fillId="8" borderId="12" xfId="0" applyFill="1" applyBorder="1" applyAlignment="1" applyProtection="1">
      <alignment horizontal="left" vertical="top" wrapText="1"/>
      <protection locked="0"/>
    </xf>
    <xf numFmtId="0" fontId="0" fillId="8" borderId="6" xfId="0" applyFill="1" applyBorder="1" applyAlignment="1" applyProtection="1">
      <alignment horizontal="left" vertical="top" wrapText="1"/>
      <protection locked="0"/>
    </xf>
    <xf numFmtId="0" fontId="0" fillId="8" borderId="8" xfId="0" applyFill="1" applyBorder="1" applyAlignment="1" applyProtection="1">
      <alignment horizontal="left" vertical="top" wrapText="1"/>
      <protection locked="0"/>
    </xf>
    <xf numFmtId="0" fontId="0" fillId="8" borderId="7" xfId="0" applyFill="1" applyBorder="1" applyAlignment="1" applyProtection="1">
      <alignment horizontal="left" vertical="top" wrapText="1"/>
      <protection locked="0"/>
    </xf>
    <xf numFmtId="0" fontId="4" fillId="8" borderId="11" xfId="0" applyFont="1" applyFill="1" applyBorder="1" applyAlignment="1" applyProtection="1">
      <alignment vertical="top"/>
      <protection locked="0"/>
    </xf>
    <xf numFmtId="0" fontId="0" fillId="0" borderId="0" xfId="0" applyAlignment="1">
      <alignment vertical="top"/>
    </xf>
    <xf numFmtId="0" fontId="0" fillId="0" borderId="12" xfId="0" applyBorder="1" applyAlignment="1">
      <alignment vertical="top"/>
    </xf>
    <xf numFmtId="0" fontId="0" fillId="0" borderId="11" xfId="0" applyBorder="1" applyAlignment="1">
      <alignment vertical="top"/>
    </xf>
    <xf numFmtId="0" fontId="0" fillId="0" borderId="6" xfId="0" applyBorder="1" applyAlignment="1">
      <alignment vertical="top"/>
    </xf>
    <xf numFmtId="0" fontId="0" fillId="0" borderId="8" xfId="0" applyBorder="1" applyAlignment="1">
      <alignment vertical="top"/>
    </xf>
    <xf numFmtId="0" fontId="0" fillId="0" borderId="7" xfId="0" applyBorder="1" applyAlignment="1">
      <alignment vertical="top"/>
    </xf>
    <xf numFmtId="0" fontId="0" fillId="8" borderId="11" xfId="0" applyFill="1" applyBorder="1" applyAlignment="1" applyProtection="1">
      <alignment vertical="top" wrapText="1"/>
      <protection locked="0"/>
    </xf>
    <xf numFmtId="0" fontId="0" fillId="0" borderId="0" xfId="0" applyAlignment="1">
      <alignment vertical="top" wrapText="1"/>
    </xf>
    <xf numFmtId="0" fontId="0" fillId="0" borderId="12" xfId="0" applyBorder="1" applyAlignment="1">
      <alignment vertical="top" wrapText="1"/>
    </xf>
    <xf numFmtId="0" fontId="0" fillId="0" borderId="11" xfId="0" applyBorder="1" applyAlignment="1">
      <alignment vertical="top" wrapText="1"/>
    </xf>
    <xf numFmtId="0" fontId="0" fillId="0" borderId="6" xfId="0" applyBorder="1" applyAlignment="1">
      <alignment vertical="top" wrapText="1"/>
    </xf>
    <xf numFmtId="0" fontId="0" fillId="0" borderId="8" xfId="0" applyBorder="1" applyAlignment="1">
      <alignment vertical="top" wrapText="1"/>
    </xf>
    <xf numFmtId="0" fontId="0" fillId="0" borderId="7" xfId="0" applyBorder="1" applyAlignment="1">
      <alignment vertical="top" wrapText="1"/>
    </xf>
    <xf numFmtId="0" fontId="7" fillId="3" borderId="38" xfId="0" applyFont="1" applyFill="1" applyBorder="1" applyAlignment="1">
      <alignment horizontal="center"/>
    </xf>
    <xf numFmtId="0" fontId="7" fillId="3" borderId="39" xfId="0" applyFont="1" applyFill="1" applyBorder="1" applyAlignment="1">
      <alignment horizontal="center"/>
    </xf>
    <xf numFmtId="0" fontId="7" fillId="3" borderId="16" xfId="0" applyFont="1" applyFill="1" applyBorder="1" applyAlignment="1">
      <alignment horizontal="center"/>
    </xf>
    <xf numFmtId="0" fontId="7" fillId="3" borderId="17" xfId="0" applyFont="1" applyFill="1" applyBorder="1" applyAlignment="1">
      <alignment horizontal="center"/>
    </xf>
    <xf numFmtId="0" fontId="11" fillId="0" borderId="3" xfId="0" applyFont="1" applyBorder="1" applyAlignment="1" applyProtection="1">
      <alignment horizontal="center"/>
      <protection locked="0"/>
    </xf>
    <xf numFmtId="0" fontId="11" fillId="0" borderId="12" xfId="0" applyFont="1" applyBorder="1" applyAlignment="1" applyProtection="1">
      <alignment horizontal="center"/>
      <protection locked="0"/>
    </xf>
    <xf numFmtId="0" fontId="9" fillId="3" borderId="32" xfId="0" applyFont="1" applyFill="1" applyBorder="1" applyAlignment="1" applyProtection="1">
      <alignment horizontal="center" vertical="center"/>
      <protection locked="0"/>
    </xf>
    <xf numFmtId="0" fontId="9" fillId="3" borderId="33" xfId="0" applyFont="1" applyFill="1" applyBorder="1" applyAlignment="1" applyProtection="1">
      <alignment horizontal="center" vertical="center"/>
      <protection locked="0"/>
    </xf>
    <xf numFmtId="0" fontId="9" fillId="3" borderId="36" xfId="0" applyFont="1" applyFill="1" applyBorder="1" applyAlignment="1" applyProtection="1">
      <alignment horizontal="center" vertical="center"/>
      <protection locked="0"/>
    </xf>
    <xf numFmtId="0" fontId="9" fillId="3" borderId="37" xfId="0" applyFont="1" applyFill="1" applyBorder="1" applyAlignment="1" applyProtection="1">
      <alignment horizontal="center" vertical="center"/>
      <protection locked="0"/>
    </xf>
    <xf numFmtId="0" fontId="0" fillId="3" borderId="32" xfId="0" applyFill="1" applyBorder="1" applyAlignment="1" applyProtection="1">
      <alignment horizontal="center" vertical="center"/>
      <protection locked="0"/>
    </xf>
    <xf numFmtId="0" fontId="0" fillId="3" borderId="33" xfId="0" applyFill="1" applyBorder="1" applyAlignment="1" applyProtection="1">
      <alignment horizontal="center" vertical="center"/>
      <protection locked="0"/>
    </xf>
    <xf numFmtId="0" fontId="0" fillId="3" borderId="34" xfId="0" applyFill="1" applyBorder="1" applyAlignment="1" applyProtection="1">
      <alignment horizontal="center" vertical="center"/>
      <protection locked="0"/>
    </xf>
    <xf numFmtId="0" fontId="0" fillId="3" borderId="35" xfId="0" applyFill="1" applyBorder="1" applyAlignment="1" applyProtection="1">
      <alignment horizontal="center" vertical="center"/>
      <protection locked="0"/>
    </xf>
    <xf numFmtId="0" fontId="7" fillId="3" borderId="2" xfId="0" applyFont="1" applyFill="1" applyBorder="1" applyAlignment="1">
      <alignment horizontal="left"/>
    </xf>
    <xf numFmtId="0" fontId="7" fillId="3" borderId="10" xfId="0" applyFont="1" applyFill="1" applyBorder="1" applyAlignment="1">
      <alignment horizontal="left"/>
    </xf>
    <xf numFmtId="0" fontId="7" fillId="3" borderId="3" xfId="0" applyFont="1" applyFill="1" applyBorder="1" applyAlignment="1">
      <alignment horizontal="left"/>
    </xf>
    <xf numFmtId="0" fontId="4" fillId="3" borderId="2" xfId="0" applyFont="1" applyFill="1" applyBorder="1" applyAlignment="1" applyProtection="1">
      <alignment horizontal="left"/>
      <protection locked="0"/>
    </xf>
    <xf numFmtId="0" fontId="4" fillId="3" borderId="10" xfId="0" applyFont="1" applyFill="1" applyBorder="1" applyAlignment="1" applyProtection="1">
      <alignment horizontal="left"/>
      <protection locked="0"/>
    </xf>
    <xf numFmtId="0" fontId="4" fillId="3" borderId="3" xfId="0" applyFont="1" applyFill="1" applyBorder="1" applyAlignment="1" applyProtection="1">
      <alignment horizontal="left"/>
      <protection locked="0"/>
    </xf>
    <xf numFmtId="0" fontId="0" fillId="3" borderId="6" xfId="0" applyFill="1" applyBorder="1" applyAlignment="1">
      <alignment horizontal="left"/>
    </xf>
    <xf numFmtId="0" fontId="0" fillId="3" borderId="8" xfId="0" applyFill="1" applyBorder="1" applyAlignment="1">
      <alignment horizontal="left"/>
    </xf>
    <xf numFmtId="0" fontId="0" fillId="3" borderId="7" xfId="0" applyFill="1" applyBorder="1" applyAlignment="1">
      <alignment horizontal="left"/>
    </xf>
    <xf numFmtId="0" fontId="5" fillId="2" borderId="0" xfId="0" applyFont="1" applyFill="1" applyAlignment="1" applyProtection="1">
      <alignment horizontal="center"/>
      <protection locked="0"/>
    </xf>
    <xf numFmtId="0" fontId="8" fillId="3" borderId="6" xfId="0" applyFont="1" applyFill="1" applyBorder="1" applyAlignment="1">
      <alignment horizontal="left" vertical="top" wrapText="1"/>
    </xf>
    <xf numFmtId="0" fontId="8" fillId="3" borderId="7" xfId="0" applyFont="1" applyFill="1" applyBorder="1" applyAlignment="1">
      <alignment horizontal="left" vertical="top" wrapText="1"/>
    </xf>
    <xf numFmtId="0" fontId="0" fillId="0" borderId="11" xfId="0" applyBorder="1" applyAlignment="1">
      <alignment horizontal="left" wrapText="1"/>
    </xf>
    <xf numFmtId="0" fontId="0" fillId="0" borderId="0" xfId="0" applyAlignment="1">
      <alignment horizontal="left" wrapText="1"/>
    </xf>
    <xf numFmtId="0" fontId="0" fillId="0" borderId="12" xfId="0" applyBorder="1" applyAlignment="1">
      <alignment horizontal="left" wrapText="1"/>
    </xf>
    <xf numFmtId="0" fontId="0" fillId="0" borderId="11" xfId="0" applyBorder="1" applyAlignment="1">
      <alignment horizontal="left"/>
    </xf>
    <xf numFmtId="0" fontId="0" fillId="0" borderId="0" xfId="0" applyAlignment="1">
      <alignment horizontal="left"/>
    </xf>
    <xf numFmtId="0" fontId="0" fillId="0" borderId="12" xfId="0" applyBorder="1" applyAlignment="1">
      <alignment horizontal="left"/>
    </xf>
    <xf numFmtId="0" fontId="0" fillId="3" borderId="6" xfId="0" applyFill="1" applyBorder="1" applyProtection="1">
      <protection locked="0"/>
    </xf>
    <xf numFmtId="0" fontId="0" fillId="3" borderId="8" xfId="0" applyFill="1" applyBorder="1" applyProtection="1">
      <protection locked="0"/>
    </xf>
    <xf numFmtId="0" fontId="0" fillId="3" borderId="7" xfId="0" applyFill="1" applyBorder="1" applyProtection="1">
      <protection locked="0"/>
    </xf>
    <xf numFmtId="0" fontId="7" fillId="3" borderId="2" xfId="0" applyFont="1" applyFill="1" applyBorder="1" applyAlignment="1">
      <alignment horizontal="left" vertical="top" wrapText="1"/>
    </xf>
    <xf numFmtId="0" fontId="7" fillId="3" borderId="10" xfId="0" applyFont="1" applyFill="1" applyBorder="1" applyAlignment="1">
      <alignment horizontal="left" vertical="top" wrapText="1"/>
    </xf>
    <xf numFmtId="0" fontId="7" fillId="3" borderId="3" xfId="0" applyFont="1" applyFill="1" applyBorder="1" applyAlignment="1">
      <alignment horizontal="left" vertical="top" wrapText="1"/>
    </xf>
    <xf numFmtId="0" fontId="8" fillId="3" borderId="8" xfId="0" applyFont="1" applyFill="1" applyBorder="1" applyAlignment="1">
      <alignment horizontal="lef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55"/>
  <sheetViews>
    <sheetView showGridLines="0" tabSelected="1" topLeftCell="A50" zoomScale="80" zoomScaleNormal="80" zoomScaleSheetLayoutView="70" workbookViewId="0">
      <selection activeCell="E4" sqref="E4:F4"/>
    </sheetView>
  </sheetViews>
  <sheetFormatPr defaultColWidth="9.1796875" defaultRowHeight="15" customHeight="1" outlineLevelCol="1" x14ac:dyDescent="0.35"/>
  <cols>
    <col min="1" max="1" width="47.7265625" style="8" customWidth="1"/>
    <col min="2" max="3" width="11.7265625" style="8" customWidth="1"/>
    <col min="4" max="4" width="11.7265625" style="9" customWidth="1"/>
    <col min="5" max="5" width="12.54296875" style="9" customWidth="1"/>
    <col min="6" max="7" width="11.7265625" style="9" customWidth="1"/>
    <col min="8" max="8" width="14.453125" style="8" customWidth="1"/>
    <col min="9" max="19" width="11.7265625" style="8" customWidth="1"/>
    <col min="20" max="35" width="11.7265625" style="8" hidden="1" customWidth="1" outlineLevel="1"/>
    <col min="36" max="36" width="10.7265625" style="8" customWidth="1" collapsed="1"/>
    <col min="37" max="37" width="10" style="8" customWidth="1"/>
    <col min="38" max="44" width="9.1796875" style="8" customWidth="1"/>
    <col min="45" max="16384" width="9.1796875" style="8"/>
  </cols>
  <sheetData>
    <row r="1" spans="1:37" s="6" customFormat="1" ht="25.5" customHeight="1" x14ac:dyDescent="0.5">
      <c r="A1" s="2" t="s">
        <v>0</v>
      </c>
      <c r="B1" s="161" t="s">
        <v>66</v>
      </c>
      <c r="C1" s="161"/>
      <c r="D1" s="161"/>
      <c r="E1" s="161"/>
      <c r="F1" s="161"/>
      <c r="G1" s="161"/>
      <c r="H1" s="161"/>
      <c r="I1" s="161"/>
      <c r="J1" s="161"/>
      <c r="K1" s="3"/>
      <c r="L1" s="3"/>
      <c r="M1" s="3"/>
      <c r="N1" s="3"/>
      <c r="O1" s="3"/>
      <c r="P1" s="3"/>
      <c r="Q1" s="3"/>
      <c r="R1" s="4" t="s">
        <v>17</v>
      </c>
      <c r="S1" s="5">
        <v>2013</v>
      </c>
    </row>
    <row r="2" spans="1:37" ht="14.25" customHeight="1" thickBot="1" x14ac:dyDescent="0.4">
      <c r="A2" s="7" t="s">
        <v>65</v>
      </c>
      <c r="U2" s="1" t="s">
        <v>34</v>
      </c>
      <c r="V2" s="1" t="s">
        <v>41</v>
      </c>
      <c r="W2" s="8" t="s">
        <v>16</v>
      </c>
      <c r="X2" s="8">
        <v>2012</v>
      </c>
    </row>
    <row r="3" spans="1:37" ht="15" customHeight="1" x14ac:dyDescent="0.35">
      <c r="A3" s="10" t="s">
        <v>51</v>
      </c>
      <c r="B3" s="173" t="s">
        <v>2</v>
      </c>
      <c r="C3" s="174"/>
      <c r="D3" s="175"/>
      <c r="E3" s="11" t="s">
        <v>3</v>
      </c>
      <c r="F3" s="12"/>
      <c r="G3" s="13" t="s">
        <v>23</v>
      </c>
      <c r="H3" s="14"/>
      <c r="I3" s="15"/>
      <c r="J3" s="16"/>
      <c r="L3" s="17" t="s">
        <v>4</v>
      </c>
      <c r="M3" s="18" t="s">
        <v>5</v>
      </c>
      <c r="N3" s="19"/>
      <c r="O3" s="138" t="s">
        <v>6</v>
      </c>
      <c r="P3" s="139"/>
      <c r="U3" s="1" t="s">
        <v>7</v>
      </c>
      <c r="V3" s="1" t="s">
        <v>42</v>
      </c>
      <c r="W3" s="8" t="s">
        <v>17</v>
      </c>
      <c r="X3" s="8">
        <v>2013</v>
      </c>
    </row>
    <row r="4" spans="1:37" ht="15" customHeight="1" x14ac:dyDescent="0.35">
      <c r="A4" t="s">
        <v>67</v>
      </c>
      <c r="B4" s="162" t="s">
        <v>56</v>
      </c>
      <c r="C4" s="176"/>
      <c r="D4" s="163"/>
      <c r="E4" s="162" t="s">
        <v>98</v>
      </c>
      <c r="F4" s="163"/>
      <c r="G4" s="164" t="s">
        <v>69</v>
      </c>
      <c r="H4" s="165"/>
      <c r="I4" s="165"/>
      <c r="J4" s="166"/>
      <c r="L4" s="21" t="s">
        <v>8</v>
      </c>
      <c r="M4" s="22" t="s">
        <v>9</v>
      </c>
      <c r="N4" s="23" t="s">
        <v>10</v>
      </c>
      <c r="O4" s="144" t="s">
        <v>49</v>
      </c>
      <c r="P4" s="145"/>
      <c r="U4" s="1" t="s">
        <v>35</v>
      </c>
      <c r="V4" s="1" t="s">
        <v>43</v>
      </c>
      <c r="W4" s="8" t="s">
        <v>18</v>
      </c>
      <c r="X4" s="8">
        <v>2014</v>
      </c>
    </row>
    <row r="5" spans="1:37" ht="15" customHeight="1" x14ac:dyDescent="0.35">
      <c r="A5" s="24" t="s">
        <v>52</v>
      </c>
      <c r="B5" s="152" t="s">
        <v>11</v>
      </c>
      <c r="C5" s="153"/>
      <c r="D5" s="154"/>
      <c r="E5" s="25" t="s">
        <v>12</v>
      </c>
      <c r="F5" s="26"/>
      <c r="G5" s="167" t="s">
        <v>70</v>
      </c>
      <c r="H5" s="168"/>
      <c r="I5" s="168"/>
      <c r="J5" s="169"/>
      <c r="L5" s="27" t="s">
        <v>13</v>
      </c>
      <c r="M5" s="28">
        <f>AF40</f>
        <v>16472500</v>
      </c>
      <c r="N5" s="29">
        <f>AG40</f>
        <v>10482500</v>
      </c>
      <c r="O5" s="146"/>
      <c r="P5" s="147"/>
      <c r="U5" s="1" t="s">
        <v>36</v>
      </c>
      <c r="V5" s="1" t="s">
        <v>44</v>
      </c>
      <c r="W5" s="8" t="s">
        <v>1</v>
      </c>
      <c r="X5" s="8">
        <v>2015</v>
      </c>
    </row>
    <row r="6" spans="1:37" ht="15" customHeight="1" x14ac:dyDescent="0.35">
      <c r="A6" s="20" t="s">
        <v>96</v>
      </c>
      <c r="B6" s="106" t="s">
        <v>68</v>
      </c>
      <c r="C6" s="107"/>
      <c r="D6" s="108"/>
      <c r="E6" s="30">
        <f>AF40</f>
        <v>16472500</v>
      </c>
      <c r="F6" s="31" t="str">
        <f>O6</f>
        <v>NGN</v>
      </c>
      <c r="G6" s="170"/>
      <c r="H6" s="171"/>
      <c r="I6" s="171"/>
      <c r="J6" s="172"/>
      <c r="L6" s="32" t="s">
        <v>14</v>
      </c>
      <c r="M6" s="33">
        <f>AF41</f>
        <v>17970000</v>
      </c>
      <c r="N6" s="34">
        <f>AG41</f>
        <v>13477500</v>
      </c>
      <c r="O6" s="148" t="str">
        <f>VLOOKUP(O4,Example!U2:'Example'!V10,2,FALSE)</f>
        <v>NGN</v>
      </c>
      <c r="P6" s="149"/>
      <c r="U6" s="1" t="s">
        <v>37</v>
      </c>
      <c r="V6" s="1" t="s">
        <v>45</v>
      </c>
    </row>
    <row r="7" spans="1:37" ht="15" customHeight="1" thickBot="1" x14ac:dyDescent="0.4">
      <c r="A7" s="155" t="s">
        <v>32</v>
      </c>
      <c r="B7" s="156"/>
      <c r="C7" s="156"/>
      <c r="D7" s="157"/>
      <c r="E7" s="25" t="s">
        <v>33</v>
      </c>
      <c r="F7" s="35"/>
      <c r="G7" s="35"/>
      <c r="H7" s="35"/>
      <c r="I7" s="35"/>
      <c r="J7" s="26"/>
      <c r="L7" s="36" t="s">
        <v>15</v>
      </c>
      <c r="M7" s="37">
        <f>M5-M6</f>
        <v>-1497500</v>
      </c>
      <c r="N7" s="38">
        <f>N5-N6</f>
        <v>-2995000</v>
      </c>
      <c r="O7" s="150"/>
      <c r="P7" s="151"/>
      <c r="U7" s="1" t="s">
        <v>38</v>
      </c>
      <c r="V7" s="1" t="s">
        <v>46</v>
      </c>
    </row>
    <row r="8" spans="1:37" ht="15" customHeight="1" x14ac:dyDescent="0.35">
      <c r="A8" s="158" t="s">
        <v>64</v>
      </c>
      <c r="B8" s="159"/>
      <c r="C8" s="159"/>
      <c r="D8" s="160"/>
      <c r="E8" s="106" t="s">
        <v>71</v>
      </c>
      <c r="F8" s="107"/>
      <c r="G8" s="107"/>
      <c r="H8" s="107"/>
      <c r="I8" s="107"/>
      <c r="J8" s="108"/>
      <c r="U8" s="1" t="s">
        <v>39</v>
      </c>
      <c r="V8" s="1" t="s">
        <v>47</v>
      </c>
    </row>
    <row r="9" spans="1:37" ht="15" hidden="1" customHeight="1" x14ac:dyDescent="0.35">
      <c r="U9" s="1" t="s">
        <v>40</v>
      </c>
      <c r="V9" s="1" t="s">
        <v>48</v>
      </c>
    </row>
    <row r="10" spans="1:37" ht="15" customHeight="1" x14ac:dyDescent="0.35">
      <c r="A10" s="83" t="s">
        <v>22</v>
      </c>
      <c r="B10" s="84"/>
      <c r="C10" s="84"/>
      <c r="D10" s="84"/>
      <c r="E10" s="84"/>
      <c r="F10" s="84"/>
      <c r="G10" s="84"/>
      <c r="H10" s="84"/>
      <c r="I10" s="84"/>
      <c r="J10" s="84"/>
      <c r="K10" s="85"/>
      <c r="L10" s="85"/>
      <c r="M10" s="85"/>
      <c r="N10" s="86"/>
      <c r="O10" s="87"/>
      <c r="P10" s="115" t="s">
        <v>61</v>
      </c>
      <c r="Q10" s="116"/>
      <c r="R10" s="115" t="s">
        <v>62</v>
      </c>
      <c r="S10" s="116"/>
      <c r="U10" s="1" t="s">
        <v>49</v>
      </c>
      <c r="V10" s="1" t="s">
        <v>50</v>
      </c>
    </row>
    <row r="11" spans="1:37" ht="14.5" x14ac:dyDescent="0.35">
      <c r="A11" s="117" t="s">
        <v>97</v>
      </c>
      <c r="B11" s="117"/>
      <c r="C11" s="117"/>
      <c r="D11" s="117"/>
      <c r="E11" s="117"/>
      <c r="F11" s="117"/>
      <c r="G11" s="117"/>
      <c r="H11" s="117"/>
      <c r="I11" s="117"/>
      <c r="J11" s="117"/>
      <c r="K11" s="117"/>
      <c r="L11" s="117"/>
      <c r="M11" s="117"/>
      <c r="N11" s="88"/>
      <c r="O11" s="89"/>
      <c r="P11" s="95" t="s">
        <v>82</v>
      </c>
      <c r="Q11" s="89"/>
      <c r="R11" s="90" t="s">
        <v>63</v>
      </c>
      <c r="S11" s="89"/>
    </row>
    <row r="12" spans="1:37" ht="12" customHeight="1" x14ac:dyDescent="0.35">
      <c r="A12" s="39"/>
      <c r="B12" s="39"/>
      <c r="C12" s="39"/>
      <c r="D12" s="40"/>
      <c r="E12" s="40"/>
      <c r="F12" s="40"/>
      <c r="G12" s="40"/>
      <c r="H12" s="41"/>
      <c r="I12" s="41"/>
      <c r="J12" s="41"/>
      <c r="K12" s="41"/>
      <c r="L12" s="41"/>
      <c r="M12" s="41"/>
      <c r="N12" s="41"/>
      <c r="O12" s="41"/>
      <c r="P12" s="41"/>
      <c r="Q12" s="41"/>
      <c r="R12" s="41"/>
      <c r="S12" s="41"/>
    </row>
    <row r="13" spans="1:37" ht="15" customHeight="1" x14ac:dyDescent="0.35">
      <c r="A13" s="142"/>
      <c r="B13" s="112">
        <v>2012</v>
      </c>
      <c r="C13" s="110"/>
      <c r="D13" s="110"/>
      <c r="E13" s="110"/>
      <c r="F13" s="110"/>
      <c r="G13" s="111"/>
      <c r="H13" s="112">
        <v>2013</v>
      </c>
      <c r="I13" s="110"/>
      <c r="J13" s="110"/>
      <c r="K13" s="110"/>
      <c r="L13" s="110"/>
      <c r="M13" s="110"/>
      <c r="N13" s="110"/>
      <c r="O13" s="111"/>
      <c r="P13" s="113">
        <v>2014</v>
      </c>
      <c r="Q13" s="114"/>
      <c r="R13" s="114"/>
      <c r="S13" s="114"/>
      <c r="T13" s="114"/>
      <c r="U13" s="114"/>
      <c r="V13" s="114"/>
      <c r="W13" s="114"/>
      <c r="X13" s="109">
        <v>2015</v>
      </c>
      <c r="Y13" s="110"/>
      <c r="Z13" s="110"/>
      <c r="AA13" s="110"/>
      <c r="AB13" s="110"/>
      <c r="AC13" s="110"/>
      <c r="AD13" s="110"/>
      <c r="AE13" s="111"/>
    </row>
    <row r="14" spans="1:37" ht="15" customHeight="1" x14ac:dyDescent="0.35">
      <c r="A14" s="143"/>
      <c r="B14" s="100" t="s">
        <v>17</v>
      </c>
      <c r="C14" s="101"/>
      <c r="D14" s="100" t="s">
        <v>18</v>
      </c>
      <c r="E14" s="101"/>
      <c r="F14" s="100" t="s">
        <v>1</v>
      </c>
      <c r="G14" s="101"/>
      <c r="H14" s="100" t="s">
        <v>16</v>
      </c>
      <c r="I14" s="101"/>
      <c r="J14" s="100" t="s">
        <v>17</v>
      </c>
      <c r="K14" s="101"/>
      <c r="L14" s="100" t="s">
        <v>18</v>
      </c>
      <c r="M14" s="101"/>
      <c r="N14" s="100" t="s">
        <v>1</v>
      </c>
      <c r="O14" s="101"/>
      <c r="P14" s="100" t="s">
        <v>16</v>
      </c>
      <c r="Q14" s="101"/>
      <c r="R14" s="100" t="s">
        <v>17</v>
      </c>
      <c r="S14" s="101"/>
      <c r="T14" s="75" t="s">
        <v>18</v>
      </c>
      <c r="U14" s="76"/>
      <c r="V14" s="75" t="s">
        <v>1</v>
      </c>
      <c r="W14" s="76"/>
      <c r="X14" s="75" t="s">
        <v>16</v>
      </c>
      <c r="Y14" s="76"/>
      <c r="Z14" s="75" t="s">
        <v>17</v>
      </c>
      <c r="AA14" s="76"/>
      <c r="AB14" s="100" t="s">
        <v>18</v>
      </c>
      <c r="AC14" s="105"/>
      <c r="AD14" s="100" t="s">
        <v>1</v>
      </c>
      <c r="AE14" s="105"/>
    </row>
    <row r="15" spans="1:37" ht="15" customHeight="1" x14ac:dyDescent="0.35">
      <c r="A15" s="143"/>
      <c r="B15" s="42" t="s">
        <v>9</v>
      </c>
      <c r="C15" s="43" t="s">
        <v>10</v>
      </c>
      <c r="D15" s="42" t="s">
        <v>9</v>
      </c>
      <c r="E15" s="43" t="s">
        <v>10</v>
      </c>
      <c r="F15" s="42" t="s">
        <v>9</v>
      </c>
      <c r="G15" s="43" t="s">
        <v>10</v>
      </c>
      <c r="H15" s="42" t="s">
        <v>9</v>
      </c>
      <c r="I15" s="43" t="s">
        <v>10</v>
      </c>
      <c r="J15" s="42" t="s">
        <v>9</v>
      </c>
      <c r="K15" s="43" t="s">
        <v>10</v>
      </c>
      <c r="L15" s="42" t="s">
        <v>9</v>
      </c>
      <c r="M15" s="43" t="s">
        <v>10</v>
      </c>
      <c r="N15" s="42" t="s">
        <v>9</v>
      </c>
      <c r="O15" s="43" t="s">
        <v>10</v>
      </c>
      <c r="P15" s="42" t="s">
        <v>9</v>
      </c>
      <c r="Q15" s="43" t="s">
        <v>10</v>
      </c>
      <c r="R15" s="42" t="s">
        <v>9</v>
      </c>
      <c r="S15" s="43" t="s">
        <v>10</v>
      </c>
      <c r="T15" s="42" t="s">
        <v>9</v>
      </c>
      <c r="U15" s="43" t="s">
        <v>10</v>
      </c>
      <c r="V15" s="42" t="s">
        <v>9</v>
      </c>
      <c r="W15" s="43" t="s">
        <v>10</v>
      </c>
      <c r="X15" s="42" t="s">
        <v>9</v>
      </c>
      <c r="Y15" s="43" t="s">
        <v>10</v>
      </c>
      <c r="Z15" s="42" t="s">
        <v>9</v>
      </c>
      <c r="AA15" s="43" t="s">
        <v>10</v>
      </c>
      <c r="AB15" s="42" t="s">
        <v>9</v>
      </c>
      <c r="AC15" s="43" t="s">
        <v>10</v>
      </c>
      <c r="AD15" s="42" t="s">
        <v>9</v>
      </c>
      <c r="AE15" s="43" t="s">
        <v>10</v>
      </c>
      <c r="AK15" s="7"/>
    </row>
    <row r="16" spans="1:37" ht="15" customHeight="1" x14ac:dyDescent="0.35">
      <c r="A16" s="44" t="s">
        <v>29</v>
      </c>
      <c r="B16" s="80"/>
      <c r="C16" s="78"/>
      <c r="D16" s="80"/>
      <c r="E16" s="78"/>
      <c r="F16" s="80"/>
      <c r="G16" s="78"/>
      <c r="H16" s="80"/>
      <c r="I16" s="78"/>
      <c r="J16" s="80"/>
      <c r="K16" s="78"/>
      <c r="L16" s="80"/>
      <c r="M16" s="78"/>
      <c r="N16" s="80"/>
      <c r="O16" s="78"/>
      <c r="P16" s="80"/>
      <c r="Q16" s="78"/>
      <c r="R16" s="80"/>
      <c r="S16" s="78"/>
      <c r="T16" s="43"/>
      <c r="U16" s="43"/>
      <c r="V16" s="43"/>
      <c r="W16" s="43"/>
      <c r="X16" s="43"/>
      <c r="Y16" s="43"/>
      <c r="Z16" s="43"/>
      <c r="AA16" s="43"/>
      <c r="AB16" s="43"/>
      <c r="AC16" s="43"/>
      <c r="AD16" s="43"/>
      <c r="AE16" s="43"/>
    </row>
    <row r="17" spans="1:31" ht="14.5" x14ac:dyDescent="0.35">
      <c r="A17" s="45" t="s">
        <v>57</v>
      </c>
      <c r="B17" s="46"/>
      <c r="C17" s="47"/>
      <c r="D17" s="46"/>
      <c r="E17" s="47"/>
      <c r="F17" s="46"/>
      <c r="G17" s="47"/>
      <c r="H17" s="46"/>
      <c r="I17" s="47"/>
      <c r="J17" s="46"/>
      <c r="K17" s="47"/>
      <c r="L17" s="46"/>
      <c r="M17" s="47"/>
      <c r="N17" s="46"/>
      <c r="O17" s="47"/>
      <c r="P17" s="46"/>
      <c r="Q17" s="47"/>
      <c r="R17" s="46"/>
      <c r="S17" s="47"/>
      <c r="T17" s="46"/>
      <c r="U17" s="48"/>
      <c r="V17" s="46"/>
      <c r="W17" s="48"/>
      <c r="X17" s="46"/>
      <c r="Y17" s="48"/>
      <c r="Z17" s="46"/>
      <c r="AA17" s="48"/>
      <c r="AB17" s="46"/>
      <c r="AC17" s="48"/>
      <c r="AD17" s="46"/>
      <c r="AE17" s="49"/>
    </row>
    <row r="18" spans="1:31" ht="14.5" x14ac:dyDescent="0.35">
      <c r="A18" s="50" t="s">
        <v>73</v>
      </c>
      <c r="B18" s="91">
        <v>40878</v>
      </c>
      <c r="C18" s="52"/>
      <c r="D18" s="51"/>
      <c r="E18" s="96">
        <v>41122</v>
      </c>
      <c r="F18" s="51"/>
      <c r="G18" s="52"/>
      <c r="H18" s="51"/>
      <c r="I18" s="52"/>
      <c r="J18" s="51"/>
      <c r="K18" s="52"/>
      <c r="L18" s="51"/>
      <c r="M18" s="52"/>
      <c r="N18" s="51"/>
      <c r="O18" s="52"/>
      <c r="P18" s="51"/>
      <c r="Q18" s="52"/>
      <c r="R18" s="51"/>
      <c r="S18" s="52"/>
      <c r="T18" s="51"/>
      <c r="U18" s="52"/>
      <c r="V18" s="51"/>
      <c r="W18" s="52"/>
      <c r="X18" s="51"/>
      <c r="Y18" s="52"/>
      <c r="Z18" s="51"/>
      <c r="AA18" s="52"/>
      <c r="AB18" s="51"/>
      <c r="AC18" s="52"/>
      <c r="AD18" s="51"/>
      <c r="AE18" s="52"/>
    </row>
    <row r="19" spans="1:31" ht="14.5" x14ac:dyDescent="0.35">
      <c r="A19" s="53" t="s">
        <v>83</v>
      </c>
      <c r="B19" s="92">
        <v>40940</v>
      </c>
      <c r="C19" s="55"/>
      <c r="D19" s="54"/>
      <c r="E19" s="55"/>
      <c r="F19" s="54"/>
      <c r="G19" s="55"/>
      <c r="H19" s="54"/>
      <c r="I19" s="97">
        <v>41306</v>
      </c>
      <c r="J19" s="54"/>
      <c r="K19" s="55"/>
      <c r="L19" s="54"/>
      <c r="M19" s="55"/>
      <c r="N19" s="54"/>
      <c r="O19" s="55"/>
      <c r="P19" s="54"/>
      <c r="Q19" s="55"/>
      <c r="R19" s="54"/>
      <c r="S19" s="55"/>
      <c r="T19" s="54"/>
      <c r="U19" s="55"/>
      <c r="V19" s="54"/>
      <c r="W19" s="55"/>
      <c r="X19" s="54"/>
      <c r="Y19" s="55"/>
      <c r="Z19" s="54"/>
      <c r="AA19" s="55"/>
      <c r="AB19" s="54"/>
      <c r="AC19" s="55"/>
      <c r="AD19" s="54"/>
      <c r="AE19" s="55"/>
    </row>
    <row r="20" spans="1:31" ht="14.5" x14ac:dyDescent="0.35">
      <c r="A20" s="50"/>
      <c r="B20" s="51"/>
      <c r="C20" s="56"/>
      <c r="D20" s="51"/>
      <c r="E20" s="56"/>
      <c r="F20" s="51"/>
      <c r="G20" s="56"/>
      <c r="H20" s="51"/>
      <c r="I20" s="56"/>
      <c r="J20" s="51"/>
      <c r="K20" s="56"/>
      <c r="L20" s="51"/>
      <c r="M20" s="56"/>
      <c r="N20" s="51"/>
      <c r="O20" s="56"/>
      <c r="P20" s="51"/>
      <c r="Q20" s="56"/>
      <c r="R20" s="51"/>
      <c r="S20" s="56"/>
      <c r="T20" s="51"/>
      <c r="U20" s="52"/>
      <c r="V20" s="51"/>
      <c r="W20" s="52"/>
      <c r="X20" s="51"/>
      <c r="Y20" s="52"/>
      <c r="Z20" s="51"/>
      <c r="AA20" s="52"/>
      <c r="AB20" s="51"/>
      <c r="AC20" s="52"/>
      <c r="AD20" s="51"/>
      <c r="AE20" s="52"/>
    </row>
    <row r="21" spans="1:31" ht="14.5" x14ac:dyDescent="0.35">
      <c r="A21" s="45" t="s">
        <v>58</v>
      </c>
      <c r="B21" s="54"/>
      <c r="C21" s="55"/>
      <c r="D21" s="54"/>
      <c r="E21" s="55"/>
      <c r="F21" s="54"/>
      <c r="G21" s="55"/>
      <c r="H21" s="54"/>
      <c r="I21" s="55"/>
      <c r="J21" s="54"/>
      <c r="K21" s="55"/>
      <c r="L21" s="54"/>
      <c r="M21" s="55"/>
      <c r="N21" s="54"/>
      <c r="O21" s="55"/>
      <c r="P21" s="54"/>
      <c r="Q21" s="55"/>
      <c r="R21" s="54"/>
      <c r="S21" s="55"/>
      <c r="T21" s="54"/>
      <c r="U21" s="55"/>
      <c r="V21" s="54"/>
      <c r="W21" s="55"/>
      <c r="X21" s="54"/>
      <c r="Y21" s="55"/>
      <c r="Z21" s="54"/>
      <c r="AA21" s="55"/>
      <c r="AB21" s="54"/>
      <c r="AC21" s="55"/>
      <c r="AD21" s="54"/>
      <c r="AE21" s="55"/>
    </row>
    <row r="22" spans="1:31" ht="14.5" x14ac:dyDescent="0.35">
      <c r="A22" s="98" t="s">
        <v>84</v>
      </c>
      <c r="B22" s="51">
        <v>3</v>
      </c>
      <c r="C22" s="52"/>
      <c r="D22" s="51"/>
      <c r="E22" s="52"/>
      <c r="F22" s="51"/>
      <c r="G22" s="52"/>
      <c r="H22" s="91"/>
      <c r="I22" s="52">
        <v>3</v>
      </c>
      <c r="J22" s="51"/>
      <c r="K22" s="52"/>
      <c r="L22" s="51"/>
      <c r="M22" s="52"/>
      <c r="N22" s="51"/>
      <c r="O22" s="52"/>
      <c r="P22" s="51"/>
      <c r="Q22" s="52"/>
      <c r="R22" s="51"/>
      <c r="S22" s="52"/>
      <c r="T22" s="51"/>
      <c r="U22" s="52"/>
      <c r="V22" s="51"/>
      <c r="W22" s="52"/>
      <c r="X22" s="51"/>
      <c r="Y22" s="52"/>
      <c r="Z22" s="51"/>
      <c r="AA22" s="52"/>
      <c r="AB22" s="51"/>
      <c r="AC22" s="52"/>
      <c r="AD22" s="51"/>
      <c r="AE22" s="52"/>
    </row>
    <row r="23" spans="1:31" ht="14.5" x14ac:dyDescent="0.35">
      <c r="A23" s="53" t="s">
        <v>85</v>
      </c>
      <c r="B23" s="54"/>
      <c r="C23" s="55"/>
      <c r="D23" s="54">
        <v>2</v>
      </c>
      <c r="E23" s="55"/>
      <c r="F23" s="54"/>
      <c r="G23" s="55"/>
      <c r="H23" s="92"/>
      <c r="I23" s="55">
        <v>2</v>
      </c>
      <c r="J23" s="54"/>
      <c r="K23" s="55"/>
      <c r="L23" s="54"/>
      <c r="M23" s="55"/>
      <c r="N23" s="54"/>
      <c r="O23" s="55"/>
      <c r="P23" s="54"/>
      <c r="Q23" s="55"/>
      <c r="R23" s="54"/>
      <c r="S23" s="55"/>
      <c r="T23" s="54"/>
      <c r="U23" s="55"/>
      <c r="V23" s="54"/>
      <c r="W23" s="55"/>
      <c r="X23" s="54"/>
      <c r="Y23" s="55"/>
      <c r="Z23" s="54"/>
      <c r="AA23" s="55"/>
      <c r="AB23" s="54"/>
      <c r="AC23" s="55"/>
      <c r="AD23" s="54"/>
      <c r="AE23" s="55"/>
    </row>
    <row r="24" spans="1:31" ht="14.5" x14ac:dyDescent="0.35">
      <c r="A24" s="50"/>
      <c r="B24" s="51"/>
      <c r="C24" s="57"/>
      <c r="D24" s="51"/>
      <c r="E24" s="57"/>
      <c r="F24" s="51"/>
      <c r="G24" s="57"/>
      <c r="H24" s="51"/>
      <c r="I24" s="57"/>
      <c r="J24" s="51"/>
      <c r="K24" s="57"/>
      <c r="L24" s="51"/>
      <c r="M24" s="57"/>
      <c r="N24" s="51"/>
      <c r="O24" s="57"/>
      <c r="P24" s="51" t="s">
        <v>31</v>
      </c>
      <c r="Q24" s="57"/>
      <c r="R24" s="51"/>
      <c r="S24" s="57"/>
      <c r="T24" s="51"/>
      <c r="U24" s="56"/>
      <c r="V24" s="51"/>
      <c r="W24" s="56"/>
      <c r="X24" s="51"/>
      <c r="Y24" s="56"/>
      <c r="Z24" s="51"/>
      <c r="AA24" s="56"/>
      <c r="AB24" s="51"/>
      <c r="AC24" s="56"/>
      <c r="AD24" s="51"/>
      <c r="AE24" s="56"/>
    </row>
    <row r="25" spans="1:31" ht="15" customHeight="1" x14ac:dyDescent="0.35">
      <c r="A25" s="44" t="s">
        <v>30</v>
      </c>
      <c r="B25" s="79"/>
      <c r="C25" s="78"/>
      <c r="D25" s="79"/>
      <c r="E25" s="78"/>
      <c r="F25" s="79"/>
      <c r="G25" s="78"/>
      <c r="H25" s="79"/>
      <c r="I25" s="78"/>
      <c r="J25" s="79"/>
      <c r="K25" s="78"/>
      <c r="L25" s="79"/>
      <c r="M25" s="78"/>
      <c r="N25" s="79"/>
      <c r="O25" s="78"/>
      <c r="P25" s="79"/>
      <c r="Q25" s="78"/>
      <c r="R25" s="79"/>
      <c r="S25" s="78"/>
      <c r="T25" s="43"/>
      <c r="U25" s="43"/>
      <c r="V25" s="43"/>
      <c r="W25" s="43"/>
      <c r="X25" s="43"/>
      <c r="Y25" s="43"/>
      <c r="Z25" s="43"/>
      <c r="AA25" s="43"/>
      <c r="AB25" s="43"/>
      <c r="AC25" s="43"/>
      <c r="AD25" s="43"/>
      <c r="AE25" s="43"/>
    </row>
    <row r="26" spans="1:31" ht="14.5" x14ac:dyDescent="0.35">
      <c r="A26" s="45" t="s">
        <v>59</v>
      </c>
      <c r="B26" s="54"/>
      <c r="C26" s="55"/>
      <c r="D26" s="54"/>
      <c r="E26" s="55"/>
      <c r="F26" s="54"/>
      <c r="G26" s="55"/>
      <c r="H26" s="54"/>
      <c r="I26" s="55"/>
      <c r="J26" s="54"/>
      <c r="K26" s="55"/>
      <c r="L26" s="54"/>
      <c r="M26" s="55"/>
      <c r="N26" s="54"/>
      <c r="O26" s="55"/>
      <c r="P26" s="54"/>
      <c r="Q26" s="55"/>
      <c r="R26" s="54"/>
      <c r="S26" s="55"/>
      <c r="T26" s="54"/>
      <c r="U26" s="55"/>
      <c r="V26" s="54"/>
      <c r="W26" s="55"/>
      <c r="X26" s="54"/>
      <c r="Y26" s="55"/>
      <c r="Z26" s="54"/>
      <c r="AA26" s="55"/>
      <c r="AB26" s="54"/>
      <c r="AC26" s="55"/>
      <c r="AD26" s="54"/>
      <c r="AE26" s="55"/>
    </row>
    <row r="27" spans="1:31" ht="14.5" x14ac:dyDescent="0.35">
      <c r="A27" s="50" t="s">
        <v>74</v>
      </c>
      <c r="B27" s="51"/>
      <c r="C27" s="56">
        <v>200</v>
      </c>
      <c r="D27" s="51"/>
      <c r="E27" s="56">
        <v>200</v>
      </c>
      <c r="F27" s="51"/>
      <c r="G27" s="57">
        <v>200</v>
      </c>
      <c r="H27" s="51"/>
      <c r="I27" s="57">
        <v>185</v>
      </c>
      <c r="J27" s="51"/>
      <c r="K27" s="56">
        <v>150</v>
      </c>
      <c r="L27" s="51">
        <v>250</v>
      </c>
      <c r="M27" s="56"/>
      <c r="N27" s="51">
        <v>300</v>
      </c>
      <c r="O27" s="56"/>
      <c r="P27" s="51">
        <v>350</v>
      </c>
      <c r="Q27" s="56"/>
      <c r="R27" s="51">
        <v>400</v>
      </c>
      <c r="S27" s="56"/>
      <c r="T27" s="51"/>
      <c r="U27" s="56"/>
      <c r="V27" s="51"/>
      <c r="W27" s="56"/>
      <c r="X27" s="51"/>
      <c r="Y27" s="56"/>
      <c r="Z27" s="51"/>
      <c r="AA27" s="56"/>
      <c r="AB27" s="51"/>
      <c r="AC27" s="56"/>
      <c r="AD27" s="51"/>
      <c r="AE27" s="56"/>
    </row>
    <row r="28" spans="1:31" ht="14.5" x14ac:dyDescent="0.35">
      <c r="A28" s="53" t="s">
        <v>75</v>
      </c>
      <c r="B28" s="54"/>
      <c r="C28" s="58">
        <v>70</v>
      </c>
      <c r="D28" s="54"/>
      <c r="E28" s="58">
        <v>70</v>
      </c>
      <c r="F28" s="54"/>
      <c r="G28" s="58">
        <v>70</v>
      </c>
      <c r="H28" s="54"/>
      <c r="I28" s="58">
        <v>100</v>
      </c>
      <c r="J28" s="54"/>
      <c r="K28" s="58">
        <v>100</v>
      </c>
      <c r="L28" s="54">
        <v>100</v>
      </c>
      <c r="M28" s="58"/>
      <c r="N28" s="54">
        <v>100</v>
      </c>
      <c r="O28" s="58"/>
      <c r="P28" s="54">
        <v>100</v>
      </c>
      <c r="Q28" s="58"/>
      <c r="R28" s="54">
        <v>100</v>
      </c>
      <c r="S28" s="58"/>
      <c r="T28" s="54"/>
      <c r="U28" s="58"/>
      <c r="V28" s="54"/>
      <c r="W28" s="58"/>
      <c r="X28" s="54"/>
      <c r="Y28" s="58"/>
      <c r="Z28" s="54"/>
      <c r="AA28" s="58"/>
      <c r="AB28" s="54"/>
      <c r="AC28" s="58"/>
      <c r="AD28" s="54"/>
      <c r="AE28" s="58"/>
    </row>
    <row r="29" spans="1:31" ht="14.5" x14ac:dyDescent="0.35">
      <c r="A29" s="50" t="s">
        <v>76</v>
      </c>
      <c r="B29" s="51"/>
      <c r="C29" s="56">
        <v>80</v>
      </c>
      <c r="D29" s="51"/>
      <c r="E29" s="56">
        <v>80</v>
      </c>
      <c r="F29" s="51"/>
      <c r="G29" s="57">
        <v>80</v>
      </c>
      <c r="H29" s="51"/>
      <c r="I29" s="57">
        <v>80</v>
      </c>
      <c r="J29" s="51"/>
      <c r="K29" s="56">
        <v>70</v>
      </c>
      <c r="L29" s="51">
        <v>80</v>
      </c>
      <c r="M29" s="56"/>
      <c r="N29" s="51">
        <v>80</v>
      </c>
      <c r="O29" s="57"/>
      <c r="P29" s="51">
        <v>80</v>
      </c>
      <c r="Q29" s="57"/>
      <c r="R29" s="51">
        <v>80</v>
      </c>
      <c r="S29" s="56"/>
      <c r="T29" s="51"/>
      <c r="U29" s="56"/>
      <c r="V29" s="51"/>
      <c r="W29" s="56"/>
      <c r="X29" s="51"/>
      <c r="Y29" s="56"/>
      <c r="Z29" s="51"/>
      <c r="AA29" s="56"/>
      <c r="AB29" s="51"/>
      <c r="AC29" s="56"/>
      <c r="AD29" s="51"/>
      <c r="AE29" s="56"/>
    </row>
    <row r="30" spans="1:31" ht="14.5" x14ac:dyDescent="0.35">
      <c r="A30" s="53"/>
      <c r="B30" s="54"/>
      <c r="C30" s="58"/>
      <c r="D30" s="54"/>
      <c r="E30" s="58"/>
      <c r="F30" s="54"/>
      <c r="G30" s="58"/>
      <c r="H30" s="54"/>
      <c r="I30" s="58"/>
      <c r="J30" s="54"/>
      <c r="K30" s="58"/>
      <c r="L30" s="54"/>
      <c r="M30" s="58"/>
      <c r="N30" s="54"/>
      <c r="O30" s="58"/>
      <c r="P30" s="54"/>
      <c r="Q30" s="58"/>
      <c r="R30" s="54"/>
      <c r="S30" s="58"/>
      <c r="T30" s="54"/>
      <c r="U30" s="58"/>
      <c r="V30" s="54"/>
      <c r="W30" s="58"/>
      <c r="X30" s="54"/>
      <c r="Y30" s="58"/>
      <c r="Z30" s="54"/>
      <c r="AA30" s="58"/>
      <c r="AB30" s="54"/>
      <c r="AC30" s="58"/>
      <c r="AD30" s="54"/>
      <c r="AE30" s="58"/>
    </row>
    <row r="31" spans="1:31" ht="15" customHeight="1" x14ac:dyDescent="0.35">
      <c r="A31" s="44" t="s">
        <v>55</v>
      </c>
      <c r="B31" s="79"/>
      <c r="C31" s="78"/>
      <c r="D31" s="79"/>
      <c r="E31" s="78"/>
      <c r="F31" s="79"/>
      <c r="G31" s="78"/>
      <c r="H31" s="79"/>
      <c r="I31" s="78"/>
      <c r="J31" s="79"/>
      <c r="K31" s="78"/>
      <c r="L31" s="79"/>
      <c r="M31" s="78"/>
      <c r="N31" s="79"/>
      <c r="O31" s="78"/>
      <c r="P31" s="79"/>
      <c r="Q31" s="78"/>
      <c r="R31" s="79"/>
      <c r="S31" s="78"/>
      <c r="T31" s="43"/>
      <c r="U31" s="43"/>
      <c r="V31" s="43"/>
      <c r="W31" s="43"/>
      <c r="X31" s="43"/>
      <c r="Y31" s="43"/>
      <c r="Z31" s="43"/>
      <c r="AA31" s="43"/>
      <c r="AB31" s="43"/>
      <c r="AC31" s="43"/>
      <c r="AD31" s="43"/>
      <c r="AE31" s="43"/>
    </row>
    <row r="32" spans="1:31" ht="14.5" x14ac:dyDescent="0.35">
      <c r="A32" s="53" t="s">
        <v>77</v>
      </c>
      <c r="B32" s="54"/>
      <c r="C32" s="55"/>
      <c r="D32" s="54"/>
      <c r="E32" s="55"/>
      <c r="F32" s="54"/>
      <c r="G32" s="55" t="s">
        <v>86</v>
      </c>
      <c r="H32" s="46"/>
      <c r="I32" s="55"/>
      <c r="J32" s="46" t="s">
        <v>81</v>
      </c>
      <c r="K32" s="55"/>
      <c r="L32" s="46"/>
      <c r="M32" s="55"/>
      <c r="N32" s="46" t="s">
        <v>80</v>
      </c>
      <c r="O32" s="55"/>
      <c r="P32" s="46"/>
      <c r="Q32" s="55"/>
      <c r="R32" s="46"/>
      <c r="S32" s="55"/>
      <c r="T32" s="54"/>
      <c r="U32" s="55"/>
      <c r="V32" s="54"/>
      <c r="W32" s="55"/>
      <c r="X32" s="54"/>
      <c r="Y32" s="55"/>
      <c r="Z32" s="54"/>
      <c r="AA32" s="55"/>
      <c r="AB32" s="54"/>
      <c r="AC32" s="55"/>
      <c r="AD32" s="54"/>
      <c r="AE32" s="55"/>
    </row>
    <row r="33" spans="1:33" ht="14.5" x14ac:dyDescent="0.35">
      <c r="A33" s="59"/>
      <c r="B33" s="51"/>
      <c r="C33" s="52"/>
      <c r="D33" s="51"/>
      <c r="E33" s="52"/>
      <c r="F33" s="51"/>
      <c r="G33" s="52"/>
      <c r="H33" s="51"/>
      <c r="I33" s="52"/>
      <c r="J33" s="51" t="s">
        <v>94</v>
      </c>
      <c r="K33" s="52"/>
      <c r="L33" s="51"/>
      <c r="M33" s="52"/>
      <c r="N33" s="51"/>
      <c r="O33" s="52"/>
      <c r="P33" s="51"/>
      <c r="Q33" s="52"/>
      <c r="R33" s="51"/>
      <c r="S33" s="52"/>
      <c r="T33" s="60"/>
      <c r="U33" s="31"/>
      <c r="V33" s="60"/>
      <c r="W33" s="31"/>
      <c r="X33" s="60"/>
      <c r="Y33" s="31"/>
      <c r="Z33" s="60"/>
      <c r="AA33" s="31"/>
      <c r="AB33" s="60"/>
      <c r="AC33" s="31"/>
      <c r="AD33" s="60"/>
      <c r="AE33" s="31"/>
    </row>
    <row r="34" spans="1:33" ht="15" customHeight="1" x14ac:dyDescent="0.35">
      <c r="A34" s="44" t="s">
        <v>53</v>
      </c>
      <c r="B34" s="79"/>
      <c r="C34" s="78"/>
      <c r="D34" s="79"/>
      <c r="E34" s="78"/>
      <c r="F34" s="79"/>
      <c r="G34" s="78"/>
      <c r="H34" s="79"/>
      <c r="I34" s="78"/>
      <c r="J34" s="79"/>
      <c r="K34" s="78"/>
      <c r="L34" s="79"/>
      <c r="M34" s="78"/>
      <c r="N34" s="79"/>
      <c r="O34" s="78"/>
      <c r="P34" s="79"/>
      <c r="Q34" s="78"/>
      <c r="R34" s="79"/>
      <c r="S34" s="78"/>
      <c r="T34" s="43"/>
      <c r="U34" s="43"/>
      <c r="V34" s="43"/>
      <c r="W34" s="43"/>
      <c r="X34" s="43"/>
      <c r="Y34" s="43"/>
      <c r="Z34" s="43"/>
      <c r="AA34" s="43"/>
      <c r="AB34" s="43"/>
      <c r="AC34" s="43"/>
      <c r="AD34" s="43"/>
      <c r="AE34" s="43"/>
    </row>
    <row r="35" spans="1:33" ht="14.5" x14ac:dyDescent="0.35">
      <c r="A35" s="74" t="s">
        <v>54</v>
      </c>
      <c r="B35" s="60"/>
      <c r="C35" s="31"/>
      <c r="D35" s="60"/>
      <c r="E35" s="31"/>
      <c r="F35" s="60"/>
      <c r="G35" s="31"/>
      <c r="H35" s="60"/>
      <c r="I35" s="31"/>
      <c r="J35" s="60"/>
      <c r="K35" s="31"/>
      <c r="L35" s="60"/>
      <c r="M35" s="31"/>
      <c r="N35" s="60" t="s">
        <v>72</v>
      </c>
      <c r="O35" s="31"/>
      <c r="P35" s="60"/>
      <c r="Q35" s="31"/>
      <c r="R35" s="60"/>
      <c r="S35" s="31"/>
      <c r="T35" s="60"/>
      <c r="U35" s="31"/>
      <c r="V35" s="60"/>
      <c r="W35" s="31"/>
      <c r="X35" s="60"/>
      <c r="Y35" s="31"/>
      <c r="Z35" s="60"/>
      <c r="AA35" s="31"/>
      <c r="AB35" s="60"/>
      <c r="AC35" s="31"/>
      <c r="AD35" s="60"/>
      <c r="AE35" s="31"/>
    </row>
    <row r="36" spans="1:33" ht="14.5" x14ac:dyDescent="0.35"/>
    <row r="37" spans="1:33" ht="15" customHeight="1" x14ac:dyDescent="0.35">
      <c r="A37" s="102" t="s">
        <v>19</v>
      </c>
      <c r="B37" s="112">
        <v>2012</v>
      </c>
      <c r="C37" s="110"/>
      <c r="D37" s="110"/>
      <c r="E37" s="110"/>
      <c r="F37" s="110"/>
      <c r="G37" s="111"/>
      <c r="H37" s="112">
        <v>2013</v>
      </c>
      <c r="I37" s="110"/>
      <c r="J37" s="110"/>
      <c r="K37" s="110"/>
      <c r="L37" s="110"/>
      <c r="M37" s="110"/>
      <c r="N37" s="110"/>
      <c r="O37" s="111"/>
      <c r="P37" s="113">
        <v>2014</v>
      </c>
      <c r="Q37" s="114"/>
      <c r="R37" s="114"/>
      <c r="S37" s="114"/>
      <c r="T37" s="114"/>
      <c r="U37" s="114"/>
      <c r="V37" s="114"/>
      <c r="W37" s="114"/>
      <c r="X37" s="109">
        <v>2015</v>
      </c>
      <c r="Y37" s="110"/>
      <c r="Z37" s="110"/>
      <c r="AA37" s="110"/>
      <c r="AB37" s="110"/>
      <c r="AC37" s="110"/>
      <c r="AD37" s="110"/>
      <c r="AE37" s="111"/>
      <c r="AF37" s="77"/>
      <c r="AG37" s="16"/>
    </row>
    <row r="38" spans="1:33" ht="14.5" x14ac:dyDescent="0.35">
      <c r="A38" s="103"/>
      <c r="B38" s="100" t="s">
        <v>17</v>
      </c>
      <c r="C38" s="101"/>
      <c r="D38" s="100" t="s">
        <v>18</v>
      </c>
      <c r="E38" s="101"/>
      <c r="F38" s="100" t="s">
        <v>1</v>
      </c>
      <c r="G38" s="101"/>
      <c r="H38" s="100" t="s">
        <v>16</v>
      </c>
      <c r="I38" s="101"/>
      <c r="J38" s="100" t="s">
        <v>17</v>
      </c>
      <c r="K38" s="101"/>
      <c r="L38" s="100" t="s">
        <v>18</v>
      </c>
      <c r="M38" s="101"/>
      <c r="N38" s="100" t="s">
        <v>1</v>
      </c>
      <c r="O38" s="101"/>
      <c r="P38" s="100" t="s">
        <v>16</v>
      </c>
      <c r="Q38" s="101"/>
      <c r="R38" s="100" t="s">
        <v>17</v>
      </c>
      <c r="S38" s="101"/>
      <c r="T38" s="75" t="s">
        <v>18</v>
      </c>
      <c r="U38" s="76"/>
      <c r="V38" s="75" t="s">
        <v>1</v>
      </c>
      <c r="W38" s="76"/>
      <c r="X38" s="75" t="s">
        <v>16</v>
      </c>
      <c r="Y38" s="76"/>
      <c r="Z38" s="75" t="s">
        <v>17</v>
      </c>
      <c r="AA38" s="76"/>
      <c r="AB38" s="100" t="s">
        <v>18</v>
      </c>
      <c r="AC38" s="105"/>
      <c r="AD38" s="100" t="s">
        <v>1</v>
      </c>
      <c r="AE38" s="105"/>
      <c r="AF38" s="140" t="s">
        <v>20</v>
      </c>
      <c r="AG38" s="141"/>
    </row>
    <row r="39" spans="1:33" ht="14.5" x14ac:dyDescent="0.35">
      <c r="A39" s="104"/>
      <c r="B39" s="42" t="s">
        <v>9</v>
      </c>
      <c r="C39" s="43" t="s">
        <v>10</v>
      </c>
      <c r="D39" s="42" t="s">
        <v>9</v>
      </c>
      <c r="E39" s="43" t="s">
        <v>10</v>
      </c>
      <c r="F39" s="42" t="s">
        <v>9</v>
      </c>
      <c r="G39" s="43" t="s">
        <v>10</v>
      </c>
      <c r="H39" s="42" t="s">
        <v>9</v>
      </c>
      <c r="I39" s="43" t="s">
        <v>10</v>
      </c>
      <c r="J39" s="42" t="s">
        <v>9</v>
      </c>
      <c r="K39" s="43" t="s">
        <v>10</v>
      </c>
      <c r="L39" s="42" t="s">
        <v>9</v>
      </c>
      <c r="M39" s="43" t="s">
        <v>10</v>
      </c>
      <c r="N39" s="42" t="s">
        <v>9</v>
      </c>
      <c r="O39" s="43" t="s">
        <v>10</v>
      </c>
      <c r="P39" s="42" t="s">
        <v>9</v>
      </c>
      <c r="Q39" s="43" t="s">
        <v>10</v>
      </c>
      <c r="R39" s="42" t="s">
        <v>9</v>
      </c>
      <c r="S39" s="43" t="s">
        <v>10</v>
      </c>
      <c r="T39" s="42" t="s">
        <v>9</v>
      </c>
      <c r="U39" s="43" t="s">
        <v>10</v>
      </c>
      <c r="V39" s="42" t="s">
        <v>9</v>
      </c>
      <c r="W39" s="43" t="s">
        <v>10</v>
      </c>
      <c r="X39" s="42" t="s">
        <v>9</v>
      </c>
      <c r="Y39" s="43" t="s">
        <v>10</v>
      </c>
      <c r="Z39" s="42" t="s">
        <v>9</v>
      </c>
      <c r="AA39" s="43" t="s">
        <v>10</v>
      </c>
      <c r="AB39" s="42" t="s">
        <v>9</v>
      </c>
      <c r="AC39" s="43" t="s">
        <v>10</v>
      </c>
      <c r="AD39" s="42" t="s">
        <v>9</v>
      </c>
      <c r="AE39" s="43" t="s">
        <v>10</v>
      </c>
      <c r="AF39" s="42" t="s">
        <v>9</v>
      </c>
      <c r="AG39" s="43" t="s">
        <v>10</v>
      </c>
    </row>
    <row r="40" spans="1:33" ht="14.5" x14ac:dyDescent="0.35">
      <c r="A40" s="61" t="s">
        <v>13</v>
      </c>
      <c r="B40" s="93">
        <v>11980000</v>
      </c>
      <c r="C40" s="81"/>
      <c r="D40" s="62"/>
      <c r="E40" s="99"/>
      <c r="F40" s="62"/>
      <c r="G40" s="81">
        <v>10482500</v>
      </c>
      <c r="H40" s="93">
        <v>2995000</v>
      </c>
      <c r="I40" s="81" t="s">
        <v>93</v>
      </c>
      <c r="J40" s="62">
        <v>1497500</v>
      </c>
      <c r="K40" s="81"/>
      <c r="L40" s="62"/>
      <c r="M40" s="81"/>
      <c r="N40" s="62"/>
      <c r="O40" s="81"/>
      <c r="P40" s="62"/>
      <c r="Q40" s="81"/>
      <c r="R40" s="62"/>
      <c r="S40" s="81"/>
      <c r="T40" s="62"/>
      <c r="U40" s="81"/>
      <c r="V40" s="62"/>
      <c r="W40" s="81"/>
      <c r="X40" s="62"/>
      <c r="Y40" s="81"/>
      <c r="Z40" s="62"/>
      <c r="AA40" s="81"/>
      <c r="AB40" s="62"/>
      <c r="AC40" s="81"/>
      <c r="AD40" s="62"/>
      <c r="AE40" s="81"/>
      <c r="AF40" s="62">
        <f>SUMIF($B$39:$AE$39,"Plan",B40:AE40)</f>
        <v>16472500</v>
      </c>
      <c r="AG40" s="62">
        <f>SUMIF($B$39:$AE$39,"Actual",B40:AE40)</f>
        <v>10482500</v>
      </c>
    </row>
    <row r="41" spans="1:33" ht="14.5" x14ac:dyDescent="0.35">
      <c r="A41" s="63" t="s">
        <v>14</v>
      </c>
      <c r="B41" s="94">
        <v>14975000</v>
      </c>
      <c r="C41" s="82"/>
      <c r="D41" s="64"/>
      <c r="E41" s="82">
        <v>10482500</v>
      </c>
      <c r="F41" s="64"/>
      <c r="G41" s="82"/>
      <c r="H41" s="64">
        <v>2995000</v>
      </c>
      <c r="I41" s="82" t="s">
        <v>93</v>
      </c>
      <c r="J41" s="64"/>
      <c r="K41" s="82">
        <v>2995000</v>
      </c>
      <c r="L41" s="64"/>
      <c r="M41" s="82"/>
      <c r="N41" s="64"/>
      <c r="O41" s="82"/>
      <c r="P41" s="64"/>
      <c r="Q41" s="82"/>
      <c r="R41" s="64"/>
      <c r="S41" s="82"/>
      <c r="T41" s="64"/>
      <c r="U41" s="82"/>
      <c r="V41" s="64"/>
      <c r="W41" s="82"/>
      <c r="X41" s="64"/>
      <c r="Y41" s="82"/>
      <c r="Z41" s="64"/>
      <c r="AA41" s="82"/>
      <c r="AB41" s="64"/>
      <c r="AC41" s="82"/>
      <c r="AD41" s="64"/>
      <c r="AE41" s="82"/>
      <c r="AF41" s="64">
        <f>SUMIF($B$39:$AE$39,"Plan",B41:AE41)</f>
        <v>17970000</v>
      </c>
      <c r="AG41" s="64">
        <f>SUMIF($B$39:$AE$39,"Actual",B41:AE41)</f>
        <v>13477500</v>
      </c>
    </row>
    <row r="42" spans="1:33" ht="14.5" x14ac:dyDescent="0.35">
      <c r="B42" s="65"/>
      <c r="C42" s="65"/>
      <c r="D42" s="65"/>
      <c r="E42" s="65"/>
      <c r="F42" s="65"/>
      <c r="G42" s="65"/>
      <c r="H42" s="65"/>
      <c r="I42" s="65"/>
      <c r="J42" s="65"/>
      <c r="K42" s="65"/>
      <c r="L42" s="65"/>
      <c r="M42" s="65"/>
      <c r="N42" s="65"/>
      <c r="O42" s="65"/>
      <c r="Q42" s="65"/>
      <c r="R42" s="65"/>
      <c r="S42" s="65"/>
    </row>
    <row r="43" spans="1:33" s="66" customFormat="1" ht="15.5" x14ac:dyDescent="0.35">
      <c r="A43" s="102" t="s">
        <v>21</v>
      </c>
      <c r="D43" s="67"/>
      <c r="E43" s="67"/>
      <c r="F43" s="67"/>
      <c r="G43" s="67"/>
    </row>
    <row r="44" spans="1:33" s="66" customFormat="1" ht="7.5" customHeight="1" x14ac:dyDescent="0.35">
      <c r="A44" s="104"/>
      <c r="D44" s="67"/>
      <c r="E44" s="67"/>
      <c r="F44" s="67"/>
      <c r="G44" s="67"/>
    </row>
    <row r="45" spans="1:33" ht="14.5" x14ac:dyDescent="0.35">
      <c r="A45" s="68" t="s">
        <v>24</v>
      </c>
      <c r="B45" s="69"/>
      <c r="C45" s="70"/>
      <c r="D45" s="68" t="s">
        <v>25</v>
      </c>
      <c r="E45" s="71"/>
      <c r="F45" s="71"/>
      <c r="G45" s="71"/>
      <c r="H45" s="72"/>
      <c r="I45" s="68" t="s">
        <v>26</v>
      </c>
      <c r="J45" s="71"/>
      <c r="K45" s="71"/>
      <c r="L45" s="71"/>
      <c r="M45" s="72"/>
      <c r="N45" s="68"/>
      <c r="O45" s="69"/>
      <c r="P45" s="69"/>
      <c r="Q45" s="69"/>
      <c r="R45" s="69"/>
      <c r="S45" s="70"/>
    </row>
    <row r="46" spans="1:33" s="7" customFormat="1" ht="15" customHeight="1" x14ac:dyDescent="0.35">
      <c r="A46" s="131" t="s">
        <v>78</v>
      </c>
      <c r="B46" s="132"/>
      <c r="C46" s="133"/>
      <c r="D46" s="131" t="s">
        <v>79</v>
      </c>
      <c r="E46" s="132"/>
      <c r="F46" s="132"/>
      <c r="G46" s="132"/>
      <c r="H46" s="133"/>
      <c r="I46" s="118" t="s">
        <v>87</v>
      </c>
      <c r="J46" s="119"/>
      <c r="K46" s="119"/>
      <c r="L46" s="119"/>
      <c r="M46" s="119"/>
      <c r="N46" s="119"/>
      <c r="O46" s="119"/>
      <c r="P46" s="119"/>
      <c r="Q46" s="119"/>
      <c r="R46" s="119"/>
      <c r="S46" s="120"/>
      <c r="T46" s="8"/>
    </row>
    <row r="47" spans="1:33" s="7" customFormat="1" ht="14.5" x14ac:dyDescent="0.35">
      <c r="A47" s="134"/>
      <c r="B47" s="132"/>
      <c r="C47" s="133"/>
      <c r="D47" s="134"/>
      <c r="E47" s="132"/>
      <c r="F47" s="132"/>
      <c r="G47" s="132"/>
      <c r="H47" s="133"/>
      <c r="I47" s="118"/>
      <c r="J47" s="119"/>
      <c r="K47" s="119"/>
      <c r="L47" s="119"/>
      <c r="M47" s="119"/>
      <c r="N47" s="119"/>
      <c r="O47" s="119"/>
      <c r="P47" s="119"/>
      <c r="Q47" s="119"/>
      <c r="R47" s="119"/>
      <c r="S47" s="120"/>
      <c r="T47" s="8"/>
    </row>
    <row r="48" spans="1:33" s="7" customFormat="1" ht="14.5" x14ac:dyDescent="0.35">
      <c r="A48" s="134"/>
      <c r="B48" s="132"/>
      <c r="C48" s="133"/>
      <c r="D48" s="134"/>
      <c r="E48" s="132"/>
      <c r="F48" s="132"/>
      <c r="G48" s="132"/>
      <c r="H48" s="133"/>
      <c r="I48" s="118"/>
      <c r="J48" s="119"/>
      <c r="K48" s="119"/>
      <c r="L48" s="119"/>
      <c r="M48" s="119"/>
      <c r="N48" s="119"/>
      <c r="O48" s="119"/>
      <c r="P48" s="119"/>
      <c r="Q48" s="119"/>
      <c r="R48" s="119"/>
      <c r="S48" s="120"/>
      <c r="T48" s="8"/>
    </row>
    <row r="49" spans="1:20" s="73" customFormat="1" ht="14.5" x14ac:dyDescent="0.35">
      <c r="A49" s="134"/>
      <c r="B49" s="132"/>
      <c r="C49" s="133"/>
      <c r="D49" s="134"/>
      <c r="E49" s="132"/>
      <c r="F49" s="132"/>
      <c r="G49" s="132"/>
      <c r="H49" s="133"/>
      <c r="I49" s="118"/>
      <c r="J49" s="119"/>
      <c r="K49" s="119"/>
      <c r="L49" s="119"/>
      <c r="M49" s="119"/>
      <c r="N49" s="119"/>
      <c r="O49" s="119"/>
      <c r="P49" s="119"/>
      <c r="Q49" s="119"/>
      <c r="R49" s="119"/>
      <c r="S49" s="120"/>
      <c r="T49" s="8"/>
    </row>
    <row r="50" spans="1:20" ht="99.75" customHeight="1" x14ac:dyDescent="0.35">
      <c r="A50" s="135"/>
      <c r="B50" s="136"/>
      <c r="C50" s="137"/>
      <c r="D50" s="135"/>
      <c r="E50" s="136"/>
      <c r="F50" s="136"/>
      <c r="G50" s="136"/>
      <c r="H50" s="137"/>
      <c r="I50" s="121"/>
      <c r="J50" s="122"/>
      <c r="K50" s="122"/>
      <c r="L50" s="122"/>
      <c r="M50" s="122"/>
      <c r="N50" s="122"/>
      <c r="O50" s="122"/>
      <c r="P50" s="122"/>
      <c r="Q50" s="122"/>
      <c r="R50" s="122"/>
      <c r="S50" s="123"/>
    </row>
    <row r="51" spans="1:20" ht="14.5" x14ac:dyDescent="0.35">
      <c r="A51" s="68" t="s">
        <v>92</v>
      </c>
      <c r="B51" s="69"/>
      <c r="C51" s="70"/>
      <c r="D51" s="68" t="s">
        <v>27</v>
      </c>
      <c r="E51" s="71"/>
      <c r="F51" s="71"/>
      <c r="G51" s="71"/>
      <c r="H51" s="72"/>
      <c r="I51" s="68" t="s">
        <v>28</v>
      </c>
      <c r="J51" s="71"/>
      <c r="K51" s="71"/>
      <c r="L51" s="71"/>
      <c r="M51" s="72"/>
      <c r="N51" s="68" t="s">
        <v>60</v>
      </c>
      <c r="O51" s="69"/>
      <c r="P51" s="69"/>
      <c r="Q51" s="69"/>
      <c r="R51" s="69"/>
      <c r="S51" s="70"/>
    </row>
    <row r="52" spans="1:20" s="7" customFormat="1" ht="37.5" customHeight="1" x14ac:dyDescent="0.35">
      <c r="A52" s="118" t="s">
        <v>91</v>
      </c>
      <c r="B52" s="119"/>
      <c r="C52" s="120"/>
      <c r="D52" s="118" t="s">
        <v>95</v>
      </c>
      <c r="E52" s="119"/>
      <c r="F52" s="119"/>
      <c r="G52" s="119"/>
      <c r="H52" s="120"/>
      <c r="I52" s="124"/>
      <c r="J52" s="125"/>
      <c r="K52" s="125"/>
      <c r="L52" s="125"/>
      <c r="M52" s="126"/>
      <c r="N52" s="124"/>
      <c r="O52" s="125"/>
      <c r="P52" s="125"/>
      <c r="Q52" s="125"/>
      <c r="R52" s="125"/>
      <c r="S52" s="126"/>
      <c r="T52" s="8"/>
    </row>
    <row r="53" spans="1:20" s="7" customFormat="1" ht="62.25" customHeight="1" x14ac:dyDescent="0.35">
      <c r="A53" s="118" t="s">
        <v>88</v>
      </c>
      <c r="B53" s="119"/>
      <c r="C53" s="120"/>
      <c r="D53" s="118"/>
      <c r="E53" s="119"/>
      <c r="F53" s="119"/>
      <c r="G53" s="119"/>
      <c r="H53" s="120"/>
      <c r="I53" s="127"/>
      <c r="J53" s="125"/>
      <c r="K53" s="125"/>
      <c r="L53" s="125"/>
      <c r="M53" s="126"/>
      <c r="N53" s="127"/>
      <c r="O53" s="125"/>
      <c r="P53" s="125"/>
      <c r="Q53" s="125"/>
      <c r="R53" s="125"/>
      <c r="S53" s="126"/>
      <c r="T53" s="8"/>
    </row>
    <row r="54" spans="1:20" s="73" customFormat="1" ht="51.75" customHeight="1" x14ac:dyDescent="0.35">
      <c r="A54" s="118" t="s">
        <v>89</v>
      </c>
      <c r="B54" s="119"/>
      <c r="C54" s="120"/>
      <c r="D54" s="118"/>
      <c r="E54" s="119"/>
      <c r="F54" s="119"/>
      <c r="G54" s="119"/>
      <c r="H54" s="120"/>
      <c r="I54" s="127"/>
      <c r="J54" s="125"/>
      <c r="K54" s="125"/>
      <c r="L54" s="125"/>
      <c r="M54" s="126"/>
      <c r="N54" s="127"/>
      <c r="O54" s="125"/>
      <c r="P54" s="125"/>
      <c r="Q54" s="125"/>
      <c r="R54" s="125"/>
      <c r="S54" s="126"/>
      <c r="T54" s="8"/>
    </row>
    <row r="55" spans="1:20" ht="124.5" customHeight="1" x14ac:dyDescent="0.35">
      <c r="A55" s="121" t="s">
        <v>90</v>
      </c>
      <c r="B55" s="122"/>
      <c r="C55" s="123"/>
      <c r="D55" s="121"/>
      <c r="E55" s="122"/>
      <c r="F55" s="122"/>
      <c r="G55" s="122"/>
      <c r="H55" s="123"/>
      <c r="I55" s="128"/>
      <c r="J55" s="129"/>
      <c r="K55" s="129"/>
      <c r="L55" s="129"/>
      <c r="M55" s="130"/>
      <c r="N55" s="128"/>
      <c r="O55" s="129"/>
      <c r="P55" s="129"/>
      <c r="Q55" s="129"/>
      <c r="R55" s="129"/>
      <c r="S55" s="130"/>
    </row>
  </sheetData>
  <mergeCells count="62">
    <mergeCell ref="B1:J1"/>
    <mergeCell ref="E4:F4"/>
    <mergeCell ref="G4:J4"/>
    <mergeCell ref="G5:J5"/>
    <mergeCell ref="G6:J6"/>
    <mergeCell ref="B3:D3"/>
    <mergeCell ref="B4:D4"/>
    <mergeCell ref="A43:A44"/>
    <mergeCell ref="O3:P3"/>
    <mergeCell ref="AF38:AG38"/>
    <mergeCell ref="AD38:AE38"/>
    <mergeCell ref="AD14:AE14"/>
    <mergeCell ref="AB14:AC14"/>
    <mergeCell ref="A13:A15"/>
    <mergeCell ref="B14:C14"/>
    <mergeCell ref="D14:E14"/>
    <mergeCell ref="O4:P5"/>
    <mergeCell ref="O6:P7"/>
    <mergeCell ref="B5:D5"/>
    <mergeCell ref="B6:D6"/>
    <mergeCell ref="A7:D7"/>
    <mergeCell ref="A8:D8"/>
    <mergeCell ref="F14:G14"/>
    <mergeCell ref="D52:H55"/>
    <mergeCell ref="I52:M55"/>
    <mergeCell ref="N52:S55"/>
    <mergeCell ref="A46:C50"/>
    <mergeCell ref="D46:H50"/>
    <mergeCell ref="I46:S50"/>
    <mergeCell ref="A52:C52"/>
    <mergeCell ref="A53:C53"/>
    <mergeCell ref="A54:C54"/>
    <mergeCell ref="A55:C55"/>
    <mergeCell ref="E8:J8"/>
    <mergeCell ref="X13:AE13"/>
    <mergeCell ref="B37:G37"/>
    <mergeCell ref="H37:O37"/>
    <mergeCell ref="P37:W37"/>
    <mergeCell ref="X37:AE37"/>
    <mergeCell ref="B13:G13"/>
    <mergeCell ref="L14:M14"/>
    <mergeCell ref="N14:O14"/>
    <mergeCell ref="P14:Q14"/>
    <mergeCell ref="R14:S14"/>
    <mergeCell ref="P10:Q10"/>
    <mergeCell ref="R10:S10"/>
    <mergeCell ref="A11:M11"/>
    <mergeCell ref="P13:W13"/>
    <mergeCell ref="H13:O13"/>
    <mergeCell ref="H14:I14"/>
    <mergeCell ref="J14:K14"/>
    <mergeCell ref="B38:C38"/>
    <mergeCell ref="A37:A39"/>
    <mergeCell ref="AB38:AC38"/>
    <mergeCell ref="D38:E38"/>
    <mergeCell ref="F38:G38"/>
    <mergeCell ref="H38:I38"/>
    <mergeCell ref="J38:K38"/>
    <mergeCell ref="L38:M38"/>
    <mergeCell ref="N38:O38"/>
    <mergeCell ref="P38:Q38"/>
    <mergeCell ref="R38:S38"/>
  </mergeCells>
  <dataValidations count="5">
    <dataValidation type="list" allowBlank="1" showInputMessage="1" showErrorMessage="1" sqref="K8:L8 R11" xr:uid="{00000000-0002-0000-0000-000000000000}">
      <formula1>#REF!</formula1>
    </dataValidation>
    <dataValidation type="list" allowBlank="1" showInputMessage="1" showErrorMessage="1" sqref="O4:P5" xr:uid="{00000000-0002-0000-0000-000001000000}">
      <formula1>$U$2:$U$10</formula1>
    </dataValidation>
    <dataValidation type="list" allowBlank="1" showInputMessage="1" showErrorMessage="1" sqref="R1" xr:uid="{00000000-0002-0000-0000-000002000000}">
      <formula1>$W$2:$W$5</formula1>
    </dataValidation>
    <dataValidation type="list" allowBlank="1" showInputMessage="1" showErrorMessage="1" sqref="S1" xr:uid="{00000000-0002-0000-0000-000003000000}">
      <formula1>$X$2:$X$5</formula1>
    </dataValidation>
    <dataValidation type="list" errorStyle="warning" allowBlank="1" showInputMessage="1" showErrorMessage="1" sqref="P11" xr:uid="{00000000-0002-0000-0000-000004000000}">
      <formula1>#REF!</formula1>
    </dataValidation>
  </dataValidations>
  <pageMargins left="0.25" right="0.25" top="0.75" bottom="0.75" header="0.3" footer="0.3"/>
  <pageSetup paperSize="9" scale="55"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Example</vt:lpstr>
      <vt:lpstr>Example!Print_Area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john.aigbonohan@medburymedicals.com</dc:creator>
  <cp:lastModifiedBy>MMS PHIA Chief Operational Officer</cp:lastModifiedBy>
  <cp:lastPrinted>2012-06-26T09:07:48Z</cp:lastPrinted>
  <dcterms:created xsi:type="dcterms:W3CDTF">2011-08-31T18:37:22Z</dcterms:created>
  <dcterms:modified xsi:type="dcterms:W3CDTF">2025-05-03T12:57:07Z</dcterms:modified>
</cp:coreProperties>
</file>